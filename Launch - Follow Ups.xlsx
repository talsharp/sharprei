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alperry/RE CRM/"/>
    </mc:Choice>
  </mc:AlternateContent>
  <xr:revisionPtr revIDLastSave="0" documentId="13_ncr:1_{DDE73B8A-5355-4C4F-B236-F57F79B5EFD3}" xr6:coauthVersionLast="47" xr6:coauthVersionMax="47" xr10:uidLastSave="{00000000-0000-0000-0000-000000000000}"/>
  <bookViews>
    <workbookView xWindow="0" yWindow="500" windowWidth="28800" windowHeight="17500" activeTab="2" xr2:uid="{00000000-000D-0000-FFFF-FFFF00000000}"/>
  </bookViews>
  <sheets>
    <sheet name="Follow up 1" sheetId="4" r:id="rId1"/>
    <sheet name="Follow up 2" sheetId="5" r:id="rId2"/>
    <sheet name="Follow up 3" sheetId="6" r:id="rId3"/>
    <sheet name="February Report" sheetId="7" state="hidden" r:id="rId4"/>
    <sheet name="March Report" sheetId="8" state="hidden" r:id="rId5"/>
    <sheet name="April Report" sheetId="9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9" l="1"/>
  <c r="F9" i="9"/>
  <c r="F8" i="9"/>
  <c r="F7" i="9"/>
  <c r="F6" i="9"/>
  <c r="F5" i="9"/>
  <c r="F4" i="9"/>
  <c r="F3" i="9"/>
  <c r="F2" i="9"/>
  <c r="F22" i="8"/>
  <c r="F14" i="8"/>
  <c r="F13" i="8"/>
  <c r="F12" i="8"/>
  <c r="F11" i="8"/>
  <c r="F10" i="8"/>
  <c r="F9" i="8"/>
  <c r="F8" i="8"/>
  <c r="F7" i="8"/>
  <c r="F6" i="8"/>
  <c r="F5" i="8"/>
  <c r="L4" i="6"/>
  <c r="K4" i="6"/>
  <c r="L3" i="6"/>
  <c r="K3" i="6"/>
  <c r="L2" i="6"/>
  <c r="K2" i="6"/>
  <c r="H2" i="6"/>
  <c r="L5" i="5"/>
  <c r="K5" i="5"/>
  <c r="L4" i="5"/>
  <c r="K4" i="5"/>
  <c r="L3" i="5"/>
  <c r="K3" i="5"/>
  <c r="L2" i="5"/>
  <c r="K2" i="5"/>
  <c r="L11" i="4"/>
  <c r="K11" i="4"/>
  <c r="L9" i="4"/>
  <c r="K9" i="4"/>
  <c r="L8" i="4"/>
  <c r="K8" i="4"/>
  <c r="L7" i="4"/>
  <c r="K7" i="4"/>
  <c r="L6" i="4"/>
  <c r="K6" i="4"/>
  <c r="J6" i="4"/>
  <c r="I6" i="4"/>
  <c r="G6" i="4"/>
  <c r="D6" i="4"/>
  <c r="C6" i="4"/>
  <c r="B6" i="4"/>
  <c r="L5" i="4"/>
  <c r="K5" i="4"/>
  <c r="H5" i="4"/>
  <c r="L4" i="4"/>
  <c r="K4" i="4"/>
  <c r="D4" i="4"/>
  <c r="L3" i="4"/>
  <c r="K3" i="4"/>
  <c r="G3" i="4"/>
  <c r="L2" i="4"/>
  <c r="K2" i="4"/>
  <c r="H2" i="4"/>
</calcChain>
</file>

<file path=xl/sharedStrings.xml><?xml version="1.0" encoding="utf-8"?>
<sst xmlns="http://schemas.openxmlformats.org/spreadsheetml/2006/main" count="98" uniqueCount="46">
  <si>
    <t>Zip</t>
  </si>
  <si>
    <t>Total Messages</t>
  </si>
  <si>
    <t>Total Delivered</t>
  </si>
  <si>
    <t>Total Response</t>
  </si>
  <si>
    <t>Delivery Rate</t>
  </si>
  <si>
    <t>Response Rate</t>
  </si>
  <si>
    <t xml:space="preserve">Total Undelivered
</t>
  </si>
  <si>
    <t xml:space="preserve">Hot Lead </t>
  </si>
  <si>
    <t>Warm</t>
  </si>
  <si>
    <t xml:space="preserve">Warm </t>
  </si>
  <si>
    <t xml:space="preserve">Drips </t>
  </si>
  <si>
    <t>Message2Lead</t>
  </si>
  <si>
    <t>Message2Drip</t>
  </si>
  <si>
    <t>Average</t>
  </si>
  <si>
    <t>Total Sent</t>
  </si>
  <si>
    <t>Delivered</t>
  </si>
  <si>
    <t>Undelivered</t>
  </si>
  <si>
    <t>Hot</t>
  </si>
  <si>
    <t>Drip</t>
  </si>
  <si>
    <t>DNC</t>
  </si>
  <si>
    <t>Not Interested</t>
  </si>
  <si>
    <t>Wrong Number</t>
  </si>
  <si>
    <t>Zip 15025 Follow-Up November 25</t>
  </si>
  <si>
    <t>Deliverability Rate</t>
  </si>
  <si>
    <t>Total Undelivered</t>
  </si>
  <si>
    <t>Undelivered %</t>
  </si>
  <si>
    <t>Response</t>
  </si>
  <si>
    <t>Created</t>
  </si>
  <si>
    <t>450-650 Follow-up September 25 Follow-up October 25 Follow-up December 25</t>
  </si>
  <si>
    <t>--</t>
  </si>
  <si>
    <t>650-1000 Follow-up September 25 Follow-up October 25 Follow-up November 25</t>
  </si>
  <si>
    <t>3000-4000 Follow-up September 25 Follow-up November 25 Follow-up December 25</t>
  </si>
  <si>
    <t>7000-9500 Follow-up September 25 Follow-up November 25 Follow-up December 25</t>
  </si>
  <si>
    <t>798-1200 Follow-up September 25 Follow-up October 25 Follow-up December 25</t>
  </si>
  <si>
    <t>1600-2000 Follow-up September 25 Follow-up October 25 Follow-up December 25</t>
  </si>
  <si>
    <t>7000-9500 Follow-up September 25 Follow-up December 25</t>
  </si>
  <si>
    <t>1200-1600 Follow-up September 25 Follow-up October 25 Follow-up November 25</t>
  </si>
  <si>
    <t>2000-3000 Follow-up September 25 Follow-up October 25 Follow-up December 25</t>
  </si>
  <si>
    <t>4000-7000 Follow-up September 25 Follow-up November 25 Follow-up December 25</t>
  </si>
  <si>
    <t>4000-7000 Follow-up September 25 Follow-up October 25 Follow-up December 25</t>
  </si>
  <si>
    <t>4000-7000 Follow-up September 25 Follow-up November 25</t>
  </si>
  <si>
    <t>7000-9500 Follow-up September 25 Follow-up November 25</t>
  </si>
  <si>
    <t>Zip 15120 Follow-up November 25 Follow-up December 25</t>
  </si>
  <si>
    <t>15221 ZIP Follow-up October 25 Follow-up December 25</t>
  </si>
  <si>
    <t>15147 Follow-up February 26</t>
  </si>
  <si>
    <t>15147 Follow-up January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</si>
</sst>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"/>
    <numFmt numFmtId="166" formatCode="mm/dd/yy"/>
  </numFmts>
  <fonts count="7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Inherit"/>
    </font>
    <font>
      <sz val="10"/>
      <color rgb="FF333333"/>
      <name val="Poppins"/>
    </font>
    <font>
      <sz val="10"/>
      <color theme="1"/>
      <name val="Poppins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10" fontId="1" fillId="0" borderId="3" xfId="0" applyNumberFormat="1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wrapText="1"/>
    </xf>
    <xf numFmtId="10" fontId="2" fillId="0" borderId="0" xfId="0" applyNumberFormat="1" applyFont="1"/>
    <xf numFmtId="9" fontId="2" fillId="0" borderId="0" xfId="0" applyNumberFormat="1" applyFont="1"/>
    <xf numFmtId="3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165" fontId="5" fillId="0" borderId="4" xfId="0" applyNumberFormat="1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9" fontId="6" fillId="0" borderId="4" xfId="0" applyNumberFormat="1" applyFont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2" fontId="5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9" fontId="5" fillId="0" borderId="4" xfId="0" applyNumberFormat="1" applyFont="1" applyBorder="1" applyAlignment="1">
      <alignment horizontal="center" wrapText="1"/>
    </xf>
    <xf numFmtId="166" fontId="5" fillId="0" borderId="4" xfId="0" applyNumberFormat="1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/>
    <xf numFmtId="10" fontId="6" fillId="0" borderId="0" xfId="0" applyNumberFormat="1" applyFont="1"/>
    <xf numFmtId="9" fontId="6" fillId="0" borderId="0" xfId="0" applyNumberFormat="1" applyFont="1" applyAlignment="1">
      <alignment horizontal="center" wrapText="1"/>
    </xf>
    <xf numFmtId="16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/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165" fontId="5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6"/>
  <sheetViews>
    <sheetView workbookViewId="0"/>
  </sheetViews>
  <sheetFormatPr baseColWidth="10" defaultColWidth="12.6640625" defaultRowHeight="15.75" customHeight="1"/>
  <cols>
    <col min="2" max="2" width="16.33203125" customWidth="1"/>
    <col min="3" max="3" width="16.1640625" customWidth="1"/>
    <col min="4" max="4" width="15.6640625" customWidth="1"/>
    <col min="6" max="6" width="13" customWidth="1"/>
    <col min="7" max="7" width="15.33203125" customWidth="1"/>
    <col min="11" max="11" width="17.83203125" customWidth="1"/>
    <col min="12" max="12" width="21.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27" ht="15.75" customHeight="1">
      <c r="A2" s="2">
        <v>15221</v>
      </c>
      <c r="B2" s="2">
        <v>3769</v>
      </c>
      <c r="C2" s="2">
        <v>3352</v>
      </c>
      <c r="D2" s="2">
        <v>312</v>
      </c>
      <c r="E2" s="3">
        <v>0.88939999999999997</v>
      </c>
      <c r="F2" s="3">
        <v>9.3100000000000002E-2</v>
      </c>
      <c r="G2" s="2">
        <v>417</v>
      </c>
      <c r="H2" s="2">
        <f>2+1</f>
        <v>3</v>
      </c>
      <c r="I2" s="2"/>
      <c r="J2" s="2">
        <v>6</v>
      </c>
      <c r="K2" s="3">
        <f t="shared" ref="K2:K9" si="0">H2/B2</f>
        <v>7.9596710002653227E-4</v>
      </c>
      <c r="L2" s="3">
        <f t="shared" ref="L2:L7" si="1">J2/B2</f>
        <v>1.5919342000530645E-3</v>
      </c>
    </row>
    <row r="3" spans="1:27" ht="15.75" customHeight="1">
      <c r="A3" s="2">
        <v>15025</v>
      </c>
      <c r="B3" s="2">
        <v>3289</v>
      </c>
      <c r="C3" s="2">
        <v>2765</v>
      </c>
      <c r="D3" s="2">
        <v>258</v>
      </c>
      <c r="E3" s="3">
        <v>0.84099999999999997</v>
      </c>
      <c r="F3" s="3">
        <v>9.2999999999999999E-2</v>
      </c>
      <c r="G3" s="2">
        <f>235+228+61</f>
        <v>524</v>
      </c>
      <c r="H3" s="2">
        <v>0</v>
      </c>
      <c r="I3" s="2">
        <v>1</v>
      </c>
      <c r="J3" s="2">
        <v>2</v>
      </c>
      <c r="K3" s="3">
        <f t="shared" si="0"/>
        <v>0</v>
      </c>
      <c r="L3" s="3">
        <f t="shared" si="1"/>
        <v>6.0808756460930375E-4</v>
      </c>
    </row>
    <row r="4" spans="1:27" ht="15.75" customHeight="1">
      <c r="A4" s="2">
        <v>15120</v>
      </c>
      <c r="B4" s="2">
        <v>2712</v>
      </c>
      <c r="C4" s="2">
        <v>2431</v>
      </c>
      <c r="D4" s="2">
        <f>57+242</f>
        <v>299</v>
      </c>
      <c r="E4" s="4">
        <v>0.89639999999999997</v>
      </c>
      <c r="F4" s="3">
        <v>0.123</v>
      </c>
      <c r="G4" s="2">
        <v>281</v>
      </c>
      <c r="H4" s="2">
        <v>2</v>
      </c>
      <c r="I4" s="2"/>
      <c r="J4" s="2">
        <v>1</v>
      </c>
      <c r="K4" s="3">
        <f t="shared" si="0"/>
        <v>7.3746312684365781E-4</v>
      </c>
      <c r="L4" s="3">
        <f t="shared" si="1"/>
        <v>3.687315634218289E-4</v>
      </c>
    </row>
    <row r="5" spans="1:27" ht="15.75" customHeight="1">
      <c r="A5" s="2">
        <v>15235</v>
      </c>
      <c r="B5" s="2">
        <v>5645</v>
      </c>
      <c r="C5" s="2">
        <v>5109</v>
      </c>
      <c r="D5" s="2">
        <v>428</v>
      </c>
      <c r="E5" s="4">
        <v>0.90500000000000003</v>
      </c>
      <c r="F5" s="3">
        <v>8.3799999999999999E-2</v>
      </c>
      <c r="G5" s="2">
        <v>536</v>
      </c>
      <c r="H5" s="2">
        <f>1</f>
        <v>1</v>
      </c>
      <c r="I5" s="2"/>
      <c r="J5" s="2">
        <v>10</v>
      </c>
      <c r="K5" s="3">
        <f t="shared" si="0"/>
        <v>1.771479185119575E-4</v>
      </c>
      <c r="L5" s="3">
        <f t="shared" si="1"/>
        <v>1.7714791851195749E-3</v>
      </c>
    </row>
    <row r="6" spans="1:27" ht="15.75" customHeight="1">
      <c r="A6" s="2">
        <v>15147</v>
      </c>
      <c r="B6" s="2">
        <f>1986+2161</f>
        <v>4147</v>
      </c>
      <c r="C6" s="2">
        <f>1788+1978</f>
        <v>3766</v>
      </c>
      <c r="D6" s="2">
        <f>211+148</f>
        <v>359</v>
      </c>
      <c r="E6" s="3">
        <v>0.90810000000000002</v>
      </c>
      <c r="F6" s="3">
        <v>9.5299999999999996E-2</v>
      </c>
      <c r="G6" s="2">
        <f>198+183</f>
        <v>381</v>
      </c>
      <c r="H6" s="2"/>
      <c r="I6" s="2">
        <f>2</f>
        <v>2</v>
      </c>
      <c r="J6" s="2">
        <f>4+2</f>
        <v>6</v>
      </c>
      <c r="K6" s="3">
        <f t="shared" si="0"/>
        <v>0</v>
      </c>
      <c r="L6" s="3">
        <f t="shared" si="1"/>
        <v>1.4468290330359296E-3</v>
      </c>
    </row>
    <row r="7" spans="1:27" ht="15.75" customHeight="1">
      <c r="A7" s="2">
        <v>15122</v>
      </c>
      <c r="B7" s="2">
        <v>4672</v>
      </c>
      <c r="C7" s="2">
        <v>4142</v>
      </c>
      <c r="D7" s="2">
        <v>391</v>
      </c>
      <c r="E7" s="3">
        <v>0.88660000000000005</v>
      </c>
      <c r="F7" s="3">
        <v>9.4399999999999998E-2</v>
      </c>
      <c r="G7" s="2">
        <v>530</v>
      </c>
      <c r="H7" s="2"/>
      <c r="I7" s="2"/>
      <c r="J7" s="2">
        <v>8</v>
      </c>
      <c r="K7" s="3">
        <f t="shared" si="0"/>
        <v>0</v>
      </c>
      <c r="L7" s="3">
        <f t="shared" si="1"/>
        <v>1.7123287671232876E-3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>
      <c r="A8" s="2">
        <v>15218</v>
      </c>
      <c r="B8" s="2">
        <v>1351</v>
      </c>
      <c r="C8" s="2">
        <v>1231</v>
      </c>
      <c r="D8" s="2">
        <v>115</v>
      </c>
      <c r="E8" s="3">
        <v>0.91120000000000001</v>
      </c>
      <c r="F8" s="3">
        <v>9.3399999999999997E-2</v>
      </c>
      <c r="G8" s="2">
        <v>120</v>
      </c>
      <c r="H8" s="2">
        <v>1</v>
      </c>
      <c r="I8" s="2"/>
      <c r="J8" s="2">
        <v>1</v>
      </c>
      <c r="K8" s="3">
        <f t="shared" si="0"/>
        <v>7.4019245003700959E-4</v>
      </c>
      <c r="L8" s="3">
        <f t="shared" ref="L8:L9" si="2">I8/C8</f>
        <v>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>
      <c r="A9" s="2">
        <v>15212</v>
      </c>
      <c r="B9" s="2">
        <v>227</v>
      </c>
      <c r="C9" s="2">
        <v>211</v>
      </c>
      <c r="D9" s="2">
        <v>23</v>
      </c>
      <c r="E9" s="3">
        <v>0.92949999999999999</v>
      </c>
      <c r="F9" s="3">
        <v>0.109</v>
      </c>
      <c r="G9" s="2">
        <v>16</v>
      </c>
      <c r="H9" s="2"/>
      <c r="I9" s="2"/>
      <c r="J9" s="2"/>
      <c r="K9" s="3">
        <f t="shared" si="0"/>
        <v>0</v>
      </c>
      <c r="L9" s="3">
        <f t="shared" si="2"/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"/>
      <c r="K10" s="1"/>
      <c r="L10" s="1"/>
    </row>
    <row r="11" spans="1:27" ht="15.75" customHeight="1">
      <c r="A11" s="5" t="s">
        <v>13</v>
      </c>
      <c r="B11" s="6"/>
      <c r="C11" s="6"/>
      <c r="D11" s="6"/>
      <c r="E11" s="6"/>
      <c r="F11" s="6"/>
      <c r="G11" s="6"/>
      <c r="H11" s="6"/>
      <c r="I11" s="6"/>
      <c r="J11" s="6"/>
      <c r="K11" s="7">
        <f>AVERAGE(K2:K10)</f>
        <v>3.0634632442739465E-4</v>
      </c>
      <c r="L11" s="7">
        <f>AVERAGE(L2:L7)</f>
        <v>1.2498983855604984E-3</v>
      </c>
    </row>
    <row r="14" spans="1:27" ht="15.75" customHeight="1">
      <c r="A14" s="8"/>
      <c r="B14" s="2"/>
    </row>
    <row r="15" spans="1:27" ht="15.75" customHeight="1">
      <c r="A15" s="8"/>
      <c r="B15" s="2"/>
    </row>
    <row r="16" spans="1:27" ht="15.75" customHeight="1">
      <c r="A16" s="8"/>
      <c r="B1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25"/>
  <sheetViews>
    <sheetView workbookViewId="0"/>
  </sheetViews>
  <sheetFormatPr baseColWidth="10" defaultColWidth="12.6640625" defaultRowHeight="15.75" customHeight="1"/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</row>
    <row r="2" spans="1:27" ht="15.75" customHeight="1">
      <c r="A2" s="2">
        <v>15221</v>
      </c>
      <c r="B2" s="2">
        <v>4008</v>
      </c>
      <c r="C2" s="2">
        <v>3402</v>
      </c>
      <c r="D2" s="2">
        <v>419</v>
      </c>
      <c r="E2" s="3">
        <v>0.84899999999999998</v>
      </c>
      <c r="F2" s="3">
        <v>0.121</v>
      </c>
      <c r="G2" s="2">
        <v>606</v>
      </c>
      <c r="H2" s="2"/>
      <c r="I2" s="2">
        <v>3</v>
      </c>
      <c r="J2" s="2">
        <v>4</v>
      </c>
      <c r="K2" s="3">
        <f t="shared" ref="K2:K4" si="0">H2/B2</f>
        <v>0</v>
      </c>
      <c r="L2" s="3">
        <f t="shared" ref="L2:L4" si="1">J2/C2</f>
        <v>1.1757789535567313E-3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>
      <c r="A3" s="2">
        <v>15120</v>
      </c>
      <c r="B3" s="2">
        <v>2613</v>
      </c>
      <c r="C3" s="2">
        <v>2359</v>
      </c>
      <c r="D3" s="2">
        <v>311</v>
      </c>
      <c r="E3" s="3">
        <v>0.90280000000000005</v>
      </c>
      <c r="F3" s="3">
        <v>0.1318</v>
      </c>
      <c r="G3" s="2">
        <v>254</v>
      </c>
      <c r="H3" s="2">
        <v>1</v>
      </c>
      <c r="I3" s="2"/>
      <c r="J3" s="2">
        <v>7</v>
      </c>
      <c r="K3" s="3">
        <f t="shared" si="0"/>
        <v>3.8270187523918868E-4</v>
      </c>
      <c r="L3" s="3">
        <f t="shared" si="1"/>
        <v>2.967359050445104E-3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>
      <c r="A4" s="2">
        <v>15235</v>
      </c>
      <c r="B4" s="2">
        <v>5351</v>
      </c>
      <c r="C4" s="2">
        <v>4733</v>
      </c>
      <c r="D4" s="2">
        <v>445</v>
      </c>
      <c r="E4" s="3">
        <v>0.88500000000000001</v>
      </c>
      <c r="F4" s="3">
        <v>9.4E-2</v>
      </c>
      <c r="G4" s="2">
        <v>618</v>
      </c>
      <c r="H4" s="2">
        <v>1</v>
      </c>
      <c r="I4" s="2"/>
      <c r="J4" s="2">
        <v>6</v>
      </c>
      <c r="K4" s="3">
        <f t="shared" si="0"/>
        <v>1.8688095683049897E-4</v>
      </c>
      <c r="L4" s="3">
        <f t="shared" si="1"/>
        <v>1.2676949080921191E-3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>
      <c r="A5" s="5" t="s">
        <v>13</v>
      </c>
      <c r="B5" s="6"/>
      <c r="C5" s="6"/>
      <c r="D5" s="6"/>
      <c r="E5" s="6"/>
      <c r="F5" s="6"/>
      <c r="G5" s="6"/>
      <c r="H5" s="6"/>
      <c r="I5" s="6"/>
      <c r="J5" s="6"/>
      <c r="K5" s="7">
        <f t="shared" ref="K5:L5" si="2">AVERAGE(K2:K4)</f>
        <v>1.8986094402322922E-4</v>
      </c>
      <c r="L5" s="7">
        <f t="shared" si="2"/>
        <v>1.8036109706979851E-3</v>
      </c>
    </row>
    <row r="10" spans="1:27" ht="15.75" customHeight="1">
      <c r="A10" s="8"/>
      <c r="B10" s="2"/>
    </row>
    <row r="11" spans="1:27" ht="15.75" customHeight="1">
      <c r="A11" s="8"/>
      <c r="B11" s="2"/>
    </row>
    <row r="12" spans="1:27" ht="15.75" customHeight="1">
      <c r="A12" s="8"/>
      <c r="B12" s="2"/>
    </row>
    <row r="18" spans="2:10" ht="15.75" customHeight="1">
      <c r="B18" s="1"/>
      <c r="C18" s="1"/>
      <c r="D18" s="1"/>
      <c r="E18" s="1"/>
      <c r="F18" s="1"/>
      <c r="G18" s="1"/>
      <c r="H18" s="1"/>
      <c r="I18" s="1"/>
      <c r="J18" s="1"/>
    </row>
    <row r="23" spans="2:10" ht="15.75" customHeight="1">
      <c r="E23" s="10"/>
      <c r="F23" s="10"/>
    </row>
    <row r="24" spans="2:10" ht="15.75" customHeight="1">
      <c r="E24" s="10"/>
      <c r="F24" s="10"/>
    </row>
    <row r="25" spans="2:10" ht="15.75" customHeight="1">
      <c r="E25" s="10"/>
      <c r="F2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2" max="2" width="20.1640625" customWidth="1"/>
    <col min="7" max="7" width="19.83203125" customWidth="1"/>
    <col min="8" max="8" width="16.3320312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</row>
    <row r="2" spans="1:12" ht="15.75" customHeight="1">
      <c r="A2" s="2">
        <v>15235</v>
      </c>
      <c r="B2" s="2">
        <v>3975</v>
      </c>
      <c r="C2" s="2">
        <v>3377</v>
      </c>
      <c r="D2" s="2">
        <v>346</v>
      </c>
      <c r="E2" s="3">
        <v>0.85</v>
      </c>
      <c r="F2" s="3">
        <v>0.10199999999999999</v>
      </c>
      <c r="G2" s="2">
        <v>598</v>
      </c>
      <c r="H2" s="2">
        <f>1</f>
        <v>1</v>
      </c>
      <c r="I2" s="2">
        <v>2</v>
      </c>
      <c r="J2" s="2">
        <v>9</v>
      </c>
      <c r="K2" s="3">
        <f t="shared" ref="K2:K4" si="0">H2/B2</f>
        <v>2.5157232704402514E-4</v>
      </c>
      <c r="L2" s="3">
        <f t="shared" ref="L2:L4" si="1">J2/C2</f>
        <v>2.6650873556411016E-3</v>
      </c>
    </row>
    <row r="3" spans="1:12" ht="15.75" customHeight="1">
      <c r="A3" s="2">
        <v>15221</v>
      </c>
      <c r="B3" s="2">
        <v>1251</v>
      </c>
      <c r="C3" s="2">
        <v>1090</v>
      </c>
      <c r="D3" s="2">
        <v>117</v>
      </c>
      <c r="E3" s="3">
        <v>0.871</v>
      </c>
      <c r="F3" s="3">
        <v>0.104</v>
      </c>
      <c r="G3" s="2">
        <v>161</v>
      </c>
      <c r="H3" s="2"/>
      <c r="I3" s="2"/>
      <c r="J3" s="2">
        <v>6</v>
      </c>
      <c r="K3" s="3">
        <f t="shared" si="0"/>
        <v>0</v>
      </c>
      <c r="L3" s="3">
        <f t="shared" si="1"/>
        <v>5.5045871559633031E-3</v>
      </c>
    </row>
    <row r="4" spans="1:12" ht="15.75" customHeight="1">
      <c r="A4" s="2">
        <v>15120</v>
      </c>
      <c r="B4" s="2">
        <v>1015</v>
      </c>
      <c r="C4" s="2">
        <v>934</v>
      </c>
      <c r="D4" s="2">
        <v>84</v>
      </c>
      <c r="E4" s="3">
        <v>0.92020000000000002</v>
      </c>
      <c r="F4" s="3">
        <v>8.9899999999999994E-2</v>
      </c>
      <c r="G4" s="2">
        <v>81</v>
      </c>
      <c r="H4" s="2">
        <v>1</v>
      </c>
      <c r="I4" s="2">
        <v>2</v>
      </c>
      <c r="J4" s="2">
        <v>2</v>
      </c>
      <c r="K4" s="3">
        <f t="shared" si="0"/>
        <v>9.8522167487684722E-4</v>
      </c>
      <c r="L4" s="3">
        <f t="shared" si="1"/>
        <v>2.1413276231263384E-3</v>
      </c>
    </row>
    <row r="5" spans="1:12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.75" customHeight="1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workbookViewId="0"/>
  </sheetViews>
  <sheetFormatPr baseColWidth="10" defaultColWidth="12.6640625" defaultRowHeight="15.75" customHeight="1"/>
  <cols>
    <col min="1" max="1" width="27.5" customWidth="1"/>
  </cols>
  <sheetData>
    <row r="1" spans="1:28" ht="15.75" customHeight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2" t="s">
        <v>21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5.75" customHeight="1">
      <c r="A2" s="2">
        <v>15216</v>
      </c>
      <c r="B2" s="2">
        <v>2159</v>
      </c>
      <c r="C2" s="3">
        <v>0.88600000000000001</v>
      </c>
      <c r="D2" s="3">
        <v>9.0999999999999998E-2</v>
      </c>
      <c r="E2" s="2"/>
      <c r="F2" s="2"/>
      <c r="G2" s="2">
        <v>143</v>
      </c>
      <c r="H2" s="2">
        <v>8</v>
      </c>
      <c r="I2" s="2">
        <v>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>
      <c r="A3" s="2">
        <v>15146</v>
      </c>
      <c r="B3" s="2">
        <v>1951</v>
      </c>
      <c r="C3" s="3">
        <v>0.88500000000000001</v>
      </c>
      <c r="D3" s="3">
        <v>0.114</v>
      </c>
      <c r="E3" s="2"/>
      <c r="F3" s="2"/>
      <c r="G3" s="2">
        <v>110</v>
      </c>
      <c r="H3" s="2">
        <v>6</v>
      </c>
      <c r="I3" s="2">
        <v>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>
      <c r="A4" s="2">
        <v>15236</v>
      </c>
      <c r="B4" s="12">
        <v>5141</v>
      </c>
      <c r="C4" s="4">
        <v>0.88100000000000001</v>
      </c>
      <c r="D4" s="3">
        <v>0.12</v>
      </c>
      <c r="E4" s="2">
        <v>1</v>
      </c>
      <c r="F4" s="2"/>
      <c r="G4" s="2">
        <v>489</v>
      </c>
      <c r="H4" s="2">
        <v>27</v>
      </c>
      <c r="I4" s="2">
        <v>15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>
      <c r="A5" s="2">
        <v>15122</v>
      </c>
      <c r="B5" s="12">
        <v>4489</v>
      </c>
      <c r="C5" s="3">
        <v>0.83699999999999997</v>
      </c>
      <c r="D5" s="3">
        <v>0.16300000000000001</v>
      </c>
      <c r="E5" s="2">
        <v>1</v>
      </c>
      <c r="F5" s="2">
        <v>3</v>
      </c>
      <c r="G5" s="2">
        <v>315</v>
      </c>
      <c r="H5" s="2">
        <v>39</v>
      </c>
      <c r="I5" s="2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>
      <c r="A6" s="2">
        <v>15147</v>
      </c>
      <c r="B6" s="12">
        <v>3181</v>
      </c>
      <c r="C6" s="3">
        <v>0.85199999999999998</v>
      </c>
      <c r="D6" s="3">
        <v>0.13300000000000001</v>
      </c>
      <c r="E6" s="2"/>
      <c r="F6" s="2"/>
      <c r="G6" s="2">
        <v>307</v>
      </c>
      <c r="H6" s="2">
        <v>23</v>
      </c>
      <c r="I6" s="2">
        <v>10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>
      <c r="A7" s="2" t="s">
        <v>22</v>
      </c>
      <c r="B7" s="2">
        <v>163</v>
      </c>
      <c r="C7" s="4">
        <v>0.79</v>
      </c>
      <c r="D7" s="4">
        <v>0.05</v>
      </c>
      <c r="E7" s="2"/>
      <c r="F7" s="2"/>
      <c r="G7" s="2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00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outlineLevelRow="1"/>
  <cols>
    <col min="1" max="1" width="48.33203125" customWidth="1"/>
    <col min="5" max="5" width="18.6640625" customWidth="1"/>
    <col min="11" max="11" width="11.1640625" customWidth="1"/>
  </cols>
  <sheetData>
    <row r="1" spans="1:15" ht="32" collapsed="1">
      <c r="A1" s="13"/>
      <c r="B1" s="14" t="s">
        <v>14</v>
      </c>
      <c r="C1" s="14" t="s">
        <v>2</v>
      </c>
      <c r="D1" s="14" t="s">
        <v>23</v>
      </c>
      <c r="E1" s="14" t="s">
        <v>24</v>
      </c>
      <c r="F1" s="14" t="s">
        <v>25</v>
      </c>
      <c r="G1" s="14" t="s">
        <v>17</v>
      </c>
      <c r="H1" s="14" t="s">
        <v>8</v>
      </c>
      <c r="I1" s="14" t="s">
        <v>18</v>
      </c>
      <c r="J1" s="14" t="s">
        <v>19</v>
      </c>
      <c r="K1" s="14" t="s">
        <v>20</v>
      </c>
      <c r="L1" s="14" t="s">
        <v>21</v>
      </c>
      <c r="M1" s="14" t="s">
        <v>26</v>
      </c>
      <c r="N1" s="14" t="s">
        <v>27</v>
      </c>
      <c r="O1" s="14"/>
    </row>
    <row r="2" spans="1:15" ht="29" hidden="1" outlineLevel="1">
      <c r="A2" s="15" t="s">
        <v>28</v>
      </c>
      <c r="B2" s="16">
        <v>0</v>
      </c>
      <c r="C2" s="16"/>
      <c r="D2" s="16"/>
      <c r="E2" s="16"/>
      <c r="F2" s="16"/>
      <c r="G2" s="16">
        <v>0</v>
      </c>
      <c r="H2" s="16"/>
      <c r="I2" s="16">
        <v>0</v>
      </c>
      <c r="J2" s="16"/>
      <c r="K2" s="16"/>
      <c r="L2" s="16"/>
      <c r="M2" s="16" t="s">
        <v>29</v>
      </c>
      <c r="N2" s="17">
        <v>46107</v>
      </c>
      <c r="O2" s="18"/>
    </row>
    <row r="3" spans="1:15" ht="29" hidden="1" outlineLevel="1">
      <c r="A3" s="15" t="s">
        <v>30</v>
      </c>
      <c r="B3" s="16">
        <v>0</v>
      </c>
      <c r="C3" s="16"/>
      <c r="D3" s="16"/>
      <c r="E3" s="16"/>
      <c r="F3" s="16"/>
      <c r="G3" s="16">
        <v>0</v>
      </c>
      <c r="H3" s="16"/>
      <c r="I3" s="16">
        <v>0</v>
      </c>
      <c r="J3" s="16"/>
      <c r="K3" s="16"/>
      <c r="L3" s="16"/>
      <c r="M3" s="16" t="s">
        <v>29</v>
      </c>
      <c r="N3" s="17">
        <v>46107</v>
      </c>
      <c r="O3" s="18"/>
    </row>
    <row r="4" spans="1:15" ht="29" hidden="1" outlineLevel="1">
      <c r="A4" s="15" t="s">
        <v>31</v>
      </c>
      <c r="B4" s="16">
        <v>95</v>
      </c>
      <c r="C4" s="16"/>
      <c r="D4" s="16"/>
      <c r="E4" s="16"/>
      <c r="F4" s="16"/>
      <c r="G4" s="16">
        <v>0</v>
      </c>
      <c r="H4" s="16"/>
      <c r="I4" s="16">
        <v>0</v>
      </c>
      <c r="J4" s="19"/>
      <c r="K4" s="19"/>
      <c r="L4" s="19"/>
      <c r="M4" s="19">
        <v>0.09</v>
      </c>
      <c r="N4" s="17">
        <v>46107</v>
      </c>
      <c r="O4" s="18"/>
    </row>
    <row r="5" spans="1:15" ht="29">
      <c r="A5" s="15" t="s">
        <v>32</v>
      </c>
      <c r="B5" s="16">
        <v>153</v>
      </c>
      <c r="C5" s="16">
        <v>137</v>
      </c>
      <c r="D5" s="20">
        <v>0.89500000000000002</v>
      </c>
      <c r="E5" s="16">
        <v>16</v>
      </c>
      <c r="F5" s="21">
        <f t="shared" ref="F5:F14" si="0">(E5/B5)*100</f>
        <v>10.457516339869281</v>
      </c>
      <c r="G5" s="16">
        <v>0</v>
      </c>
      <c r="H5" s="16">
        <v>0</v>
      </c>
      <c r="I5" s="16">
        <v>0</v>
      </c>
      <c r="J5" s="22">
        <v>7</v>
      </c>
      <c r="K5" s="22">
        <v>0</v>
      </c>
      <c r="L5" s="22">
        <v>0</v>
      </c>
      <c r="M5" s="19">
        <v>7.0000000000000007E-2</v>
      </c>
      <c r="N5" s="17">
        <v>46107</v>
      </c>
      <c r="O5" s="18"/>
    </row>
    <row r="6" spans="1:15" ht="29">
      <c r="A6" s="15" t="s">
        <v>33</v>
      </c>
      <c r="B6" s="16">
        <v>246</v>
      </c>
      <c r="C6" s="16">
        <v>218</v>
      </c>
      <c r="D6" s="20">
        <v>0.88600000000000001</v>
      </c>
      <c r="E6" s="16">
        <v>28</v>
      </c>
      <c r="F6" s="21">
        <f t="shared" si="0"/>
        <v>11.38211382113821</v>
      </c>
      <c r="G6" s="16">
        <v>0</v>
      </c>
      <c r="H6" s="16">
        <v>0</v>
      </c>
      <c r="I6" s="16">
        <v>1</v>
      </c>
      <c r="J6" s="22">
        <v>9</v>
      </c>
      <c r="K6" s="22">
        <v>0</v>
      </c>
      <c r="L6" s="22">
        <v>0</v>
      </c>
      <c r="M6" s="19">
        <v>0.06</v>
      </c>
      <c r="N6" s="17">
        <v>46107</v>
      </c>
      <c r="O6" s="18"/>
    </row>
    <row r="7" spans="1:15" ht="29">
      <c r="A7" s="15" t="s">
        <v>34</v>
      </c>
      <c r="B7" s="16">
        <v>152</v>
      </c>
      <c r="C7" s="16">
        <v>122</v>
      </c>
      <c r="D7" s="20">
        <v>0.80200000000000005</v>
      </c>
      <c r="E7" s="16">
        <v>30</v>
      </c>
      <c r="F7" s="21">
        <f t="shared" si="0"/>
        <v>19.736842105263158</v>
      </c>
      <c r="G7" s="16">
        <v>0</v>
      </c>
      <c r="H7" s="16">
        <v>0</v>
      </c>
      <c r="I7" s="16">
        <v>0</v>
      </c>
      <c r="J7" s="22">
        <v>7</v>
      </c>
      <c r="K7" s="22">
        <v>0</v>
      </c>
      <c r="L7" s="22">
        <v>0</v>
      </c>
      <c r="M7" s="19">
        <v>7.0000000000000007E-2</v>
      </c>
      <c r="N7" s="17">
        <v>46107</v>
      </c>
      <c r="O7" s="18"/>
    </row>
    <row r="8" spans="1:15" ht="29">
      <c r="A8" s="15" t="s">
        <v>35</v>
      </c>
      <c r="B8" s="16">
        <v>754</v>
      </c>
      <c r="C8" s="16">
        <v>639</v>
      </c>
      <c r="D8" s="20">
        <v>0.84699999999999998</v>
      </c>
      <c r="E8" s="16">
        <v>115</v>
      </c>
      <c r="F8" s="21">
        <f t="shared" si="0"/>
        <v>15.251989389920425</v>
      </c>
      <c r="G8" s="16">
        <v>0</v>
      </c>
      <c r="H8" s="16">
        <v>0</v>
      </c>
      <c r="I8" s="16">
        <v>0</v>
      </c>
      <c r="J8" s="22">
        <v>75</v>
      </c>
      <c r="K8" s="22">
        <v>9</v>
      </c>
      <c r="L8" s="22">
        <v>4</v>
      </c>
      <c r="M8" s="19">
        <v>0.17</v>
      </c>
      <c r="N8" s="17">
        <v>46100</v>
      </c>
      <c r="O8" s="18"/>
    </row>
    <row r="9" spans="1:15" ht="29">
      <c r="A9" s="15" t="s">
        <v>36</v>
      </c>
      <c r="B9" s="16">
        <v>190</v>
      </c>
      <c r="C9" s="16">
        <v>158</v>
      </c>
      <c r="D9" s="20">
        <v>0.83099999999999996</v>
      </c>
      <c r="E9" s="16">
        <v>32</v>
      </c>
      <c r="F9" s="21">
        <f t="shared" si="0"/>
        <v>16.842105263157894</v>
      </c>
      <c r="G9" s="16">
        <v>0</v>
      </c>
      <c r="H9" s="16">
        <v>0</v>
      </c>
      <c r="I9" s="16">
        <v>0</v>
      </c>
      <c r="J9" s="22">
        <v>7</v>
      </c>
      <c r="K9" s="22">
        <v>0</v>
      </c>
      <c r="L9" s="22">
        <v>0</v>
      </c>
      <c r="M9" s="19">
        <v>0.05</v>
      </c>
      <c r="N9" s="17">
        <v>46100</v>
      </c>
      <c r="O9" s="18"/>
    </row>
    <row r="10" spans="1:15" ht="29">
      <c r="A10" s="15" t="s">
        <v>37</v>
      </c>
      <c r="B10" s="16">
        <v>158</v>
      </c>
      <c r="C10" s="16">
        <v>132</v>
      </c>
      <c r="D10" s="20">
        <v>0.83499999999999996</v>
      </c>
      <c r="E10" s="16">
        <v>26</v>
      </c>
      <c r="F10" s="21">
        <f t="shared" si="0"/>
        <v>16.455696202531644</v>
      </c>
      <c r="G10" s="16">
        <v>0</v>
      </c>
      <c r="H10" s="16">
        <v>0</v>
      </c>
      <c r="I10" s="16">
        <v>1</v>
      </c>
      <c r="J10" s="22">
        <v>7</v>
      </c>
      <c r="K10" s="22">
        <v>0</v>
      </c>
      <c r="L10" s="22">
        <v>1</v>
      </c>
      <c r="M10" s="19">
        <v>0.08</v>
      </c>
      <c r="N10" s="17">
        <v>46100</v>
      </c>
      <c r="O10" s="18"/>
    </row>
    <row r="11" spans="1:15" ht="29">
      <c r="A11" s="15" t="s">
        <v>37</v>
      </c>
      <c r="B11" s="16">
        <v>506</v>
      </c>
      <c r="C11" s="16">
        <v>420</v>
      </c>
      <c r="D11" s="23">
        <v>0.83</v>
      </c>
      <c r="E11" s="16">
        <v>86</v>
      </c>
      <c r="F11" s="21">
        <f t="shared" si="0"/>
        <v>16.996047430830039</v>
      </c>
      <c r="G11" s="16">
        <v>0</v>
      </c>
      <c r="H11" s="16">
        <v>0</v>
      </c>
      <c r="I11" s="16">
        <v>1</v>
      </c>
      <c r="J11" s="22">
        <v>24</v>
      </c>
      <c r="K11" s="22">
        <v>3</v>
      </c>
      <c r="L11" s="22">
        <v>0</v>
      </c>
      <c r="M11" s="19">
        <v>0.09</v>
      </c>
      <c r="N11" s="17">
        <v>46099</v>
      </c>
      <c r="O11" s="18"/>
    </row>
    <row r="12" spans="1:15" ht="29">
      <c r="A12" s="15" t="s">
        <v>38</v>
      </c>
      <c r="B12" s="16">
        <v>336</v>
      </c>
      <c r="C12" s="16">
        <v>288</v>
      </c>
      <c r="D12" s="20">
        <v>0.85699999999999998</v>
      </c>
      <c r="E12" s="16">
        <v>48</v>
      </c>
      <c r="F12" s="21">
        <f t="shared" si="0"/>
        <v>14.285714285714285</v>
      </c>
      <c r="G12" s="16">
        <v>0</v>
      </c>
      <c r="H12" s="16">
        <v>0</v>
      </c>
      <c r="I12" s="16">
        <v>1</v>
      </c>
      <c r="J12" s="22">
        <v>20</v>
      </c>
      <c r="K12" s="22">
        <v>1</v>
      </c>
      <c r="L12" s="22">
        <v>1</v>
      </c>
      <c r="M12" s="19">
        <v>0.09</v>
      </c>
      <c r="N12" s="17">
        <v>46099</v>
      </c>
      <c r="O12" s="18"/>
    </row>
    <row r="13" spans="1:15" ht="29">
      <c r="A13" s="15" t="s">
        <v>39</v>
      </c>
      <c r="B13" s="16">
        <v>292</v>
      </c>
      <c r="C13" s="16">
        <v>257</v>
      </c>
      <c r="D13" s="23">
        <v>0.88</v>
      </c>
      <c r="E13" s="16">
        <v>35</v>
      </c>
      <c r="F13" s="21">
        <f t="shared" si="0"/>
        <v>11.986301369863012</v>
      </c>
      <c r="G13" s="16">
        <v>0</v>
      </c>
      <c r="H13" s="16">
        <v>0</v>
      </c>
      <c r="I13" s="16">
        <v>0</v>
      </c>
      <c r="J13" s="22">
        <v>19</v>
      </c>
      <c r="K13" s="22">
        <v>1</v>
      </c>
      <c r="L13" s="22">
        <v>0</v>
      </c>
      <c r="M13" s="19">
        <v>0.1</v>
      </c>
      <c r="N13" s="17">
        <v>46098</v>
      </c>
      <c r="O13" s="18"/>
    </row>
    <row r="14" spans="1:15" ht="29">
      <c r="A14" s="15" t="s">
        <v>38</v>
      </c>
      <c r="B14" s="16">
        <v>505</v>
      </c>
      <c r="C14" s="16">
        <v>435</v>
      </c>
      <c r="D14" s="20">
        <v>0.86099999999999999</v>
      </c>
      <c r="E14" s="16">
        <v>70</v>
      </c>
      <c r="F14" s="21">
        <f t="shared" si="0"/>
        <v>13.861386138613863</v>
      </c>
      <c r="G14" s="16">
        <v>0</v>
      </c>
      <c r="H14" s="16">
        <v>0</v>
      </c>
      <c r="I14" s="16">
        <v>0</v>
      </c>
      <c r="J14" s="22">
        <v>39</v>
      </c>
      <c r="K14" s="22">
        <v>4</v>
      </c>
      <c r="L14" s="22">
        <v>0</v>
      </c>
      <c r="M14" s="19">
        <v>0.13</v>
      </c>
      <c r="N14" s="17">
        <v>46097</v>
      </c>
      <c r="O14" s="18"/>
    </row>
    <row r="15" spans="1:15" ht="29">
      <c r="A15" s="15" t="s">
        <v>40</v>
      </c>
      <c r="B15" s="16">
        <v>655</v>
      </c>
      <c r="C15" s="16">
        <v>550</v>
      </c>
      <c r="D15" s="20">
        <v>0.83899999999999997</v>
      </c>
      <c r="E15" s="16">
        <v>105</v>
      </c>
      <c r="F15" s="20">
        <v>0.1603</v>
      </c>
      <c r="G15" s="16">
        <v>0</v>
      </c>
      <c r="H15" s="16">
        <v>0</v>
      </c>
      <c r="I15" s="16">
        <v>0</v>
      </c>
      <c r="J15" s="22">
        <v>50</v>
      </c>
      <c r="K15" s="22">
        <v>6</v>
      </c>
      <c r="L15" s="22">
        <v>0</v>
      </c>
      <c r="M15" s="19">
        <v>0.11</v>
      </c>
      <c r="N15" s="17">
        <v>46097</v>
      </c>
      <c r="O15" s="18"/>
    </row>
    <row r="16" spans="1:15" ht="29">
      <c r="A16" s="15" t="s">
        <v>41</v>
      </c>
      <c r="B16" s="16">
        <v>350</v>
      </c>
      <c r="C16" s="16">
        <v>298</v>
      </c>
      <c r="D16" s="20">
        <v>0.85099999999999998</v>
      </c>
      <c r="E16" s="16">
        <v>52</v>
      </c>
      <c r="F16" s="20">
        <v>0.14860000000000001</v>
      </c>
      <c r="G16" s="16">
        <v>0</v>
      </c>
      <c r="H16" s="16">
        <v>0</v>
      </c>
      <c r="I16" s="16">
        <v>0</v>
      </c>
      <c r="J16" s="22">
        <v>24</v>
      </c>
      <c r="K16" s="22">
        <v>1</v>
      </c>
      <c r="L16" s="22">
        <v>0</v>
      </c>
      <c r="M16" s="19">
        <v>0.09</v>
      </c>
      <c r="N16" s="17">
        <v>46097</v>
      </c>
    </row>
    <row r="17" spans="1:14" ht="15">
      <c r="A17" s="15">
        <v>15219</v>
      </c>
      <c r="B17" s="16">
        <v>1422</v>
      </c>
      <c r="C17" s="16">
        <v>1166</v>
      </c>
      <c r="D17" s="23">
        <v>0.82</v>
      </c>
      <c r="E17" s="16">
        <v>256</v>
      </c>
      <c r="F17" s="23">
        <v>0.18</v>
      </c>
      <c r="G17" s="16">
        <v>0</v>
      </c>
      <c r="H17" s="16">
        <v>1</v>
      </c>
      <c r="I17" s="16">
        <v>2</v>
      </c>
      <c r="J17" s="22">
        <v>111</v>
      </c>
      <c r="K17" s="22">
        <v>19</v>
      </c>
      <c r="L17" s="22">
        <v>3</v>
      </c>
      <c r="M17" s="19">
        <v>0.17</v>
      </c>
      <c r="N17" s="24">
        <v>46086</v>
      </c>
    </row>
    <row r="18" spans="1:14" ht="15">
      <c r="A18" s="15">
        <v>15212</v>
      </c>
      <c r="B18" s="16">
        <v>3039</v>
      </c>
      <c r="C18" s="16">
        <v>2623</v>
      </c>
      <c r="D18" s="20">
        <v>0.86299999999999999</v>
      </c>
      <c r="E18" s="16">
        <v>416</v>
      </c>
      <c r="F18" s="20">
        <v>0.13689999999999999</v>
      </c>
      <c r="G18" s="16">
        <v>4</v>
      </c>
      <c r="H18" s="16">
        <v>3</v>
      </c>
      <c r="I18" s="16">
        <v>1</v>
      </c>
      <c r="J18" s="22">
        <v>208</v>
      </c>
      <c r="K18" s="22">
        <v>32</v>
      </c>
      <c r="L18" s="22">
        <v>9</v>
      </c>
      <c r="M18" s="19">
        <v>0.14000000000000001</v>
      </c>
      <c r="N18" s="24">
        <v>46086</v>
      </c>
    </row>
    <row r="19" spans="1:14" ht="15">
      <c r="A19" s="15">
        <v>15210</v>
      </c>
      <c r="B19" s="16">
        <v>5565</v>
      </c>
      <c r="C19" s="16">
        <v>4698</v>
      </c>
      <c r="D19" s="20">
        <v>0.84399999999999997</v>
      </c>
      <c r="E19" s="16">
        <v>867</v>
      </c>
      <c r="F19" s="20">
        <v>0.15579999999999999</v>
      </c>
      <c r="G19" s="16">
        <v>6</v>
      </c>
      <c r="H19" s="16">
        <v>5</v>
      </c>
      <c r="I19" s="16">
        <v>5</v>
      </c>
      <c r="J19" s="22">
        <v>288</v>
      </c>
      <c r="K19" s="22">
        <v>39</v>
      </c>
      <c r="L19" s="22">
        <v>12</v>
      </c>
      <c r="M19" s="19">
        <v>0.11</v>
      </c>
      <c r="N19" s="24">
        <v>46086</v>
      </c>
    </row>
    <row r="20" spans="1:14" ht="15">
      <c r="A20" s="15" t="s">
        <v>42</v>
      </c>
      <c r="B20" s="16">
        <v>363</v>
      </c>
      <c r="C20" s="16">
        <v>294</v>
      </c>
      <c r="D20" s="20">
        <v>0.80900000000000005</v>
      </c>
      <c r="E20" s="16">
        <v>69</v>
      </c>
      <c r="F20" s="20">
        <v>0.19009999999999999</v>
      </c>
      <c r="G20" s="16">
        <v>0</v>
      </c>
      <c r="H20" s="16">
        <v>0</v>
      </c>
      <c r="I20" s="16">
        <v>0</v>
      </c>
      <c r="J20" s="22">
        <v>19</v>
      </c>
      <c r="K20" s="22">
        <v>6</v>
      </c>
      <c r="L20" s="22">
        <v>50</v>
      </c>
      <c r="M20" s="19">
        <v>0.11</v>
      </c>
      <c r="N20" s="24">
        <v>46083</v>
      </c>
    </row>
    <row r="21" spans="1:14" ht="15">
      <c r="A21" s="2" t="s">
        <v>43</v>
      </c>
      <c r="B21" s="16">
        <v>1470</v>
      </c>
      <c r="C21" s="16">
        <v>1212</v>
      </c>
      <c r="D21" s="20">
        <v>0.82399999999999995</v>
      </c>
      <c r="E21" s="16">
        <v>258</v>
      </c>
      <c r="F21" s="20">
        <v>0.17549999999999999</v>
      </c>
      <c r="G21" s="16">
        <v>0</v>
      </c>
      <c r="H21" s="16">
        <v>1</v>
      </c>
      <c r="I21" s="16">
        <v>1</v>
      </c>
      <c r="J21" s="22">
        <v>86</v>
      </c>
      <c r="K21" s="22">
        <v>14</v>
      </c>
      <c r="L21" s="22">
        <v>7</v>
      </c>
      <c r="M21" s="19">
        <v>9.5000000000000001E-2</v>
      </c>
      <c r="N21" s="24">
        <v>46079</v>
      </c>
    </row>
    <row r="22" spans="1:14" ht="15">
      <c r="A22" s="2">
        <v>15216</v>
      </c>
      <c r="B22" s="16">
        <v>1484</v>
      </c>
      <c r="C22" s="16">
        <v>1319</v>
      </c>
      <c r="D22" s="20">
        <v>0.88900000000000001</v>
      </c>
      <c r="E22" s="16">
        <v>165</v>
      </c>
      <c r="F22" s="21">
        <f>(E22/B22)*100</f>
        <v>11.118598382749326</v>
      </c>
      <c r="G22" s="16">
        <v>0</v>
      </c>
      <c r="H22" s="16">
        <v>1</v>
      </c>
      <c r="I22" s="16">
        <v>1</v>
      </c>
      <c r="J22" s="22">
        <v>67</v>
      </c>
      <c r="K22" s="22">
        <v>13</v>
      </c>
      <c r="L22" s="22">
        <v>0</v>
      </c>
      <c r="M22" s="19">
        <v>9.5000000000000001E-2</v>
      </c>
      <c r="N22" s="24">
        <v>46079</v>
      </c>
    </row>
    <row r="23" spans="1:14" ht="13">
      <c r="A23" s="2">
        <v>15235</v>
      </c>
    </row>
    <row r="24" spans="1:14" ht="13">
      <c r="A24" s="2"/>
    </row>
    <row r="25" spans="1:14" ht="13">
      <c r="A25" s="2"/>
    </row>
    <row r="26" spans="1:14" ht="13">
      <c r="A26" s="2"/>
    </row>
    <row r="27" spans="1:14" ht="13">
      <c r="A27" s="2"/>
    </row>
    <row r="28" spans="1:14" ht="13">
      <c r="A28" s="2"/>
    </row>
    <row r="29" spans="1:14" ht="13">
      <c r="A29" s="2"/>
    </row>
    <row r="30" spans="1:14" ht="13">
      <c r="A30" s="2"/>
    </row>
    <row r="31" spans="1:14" ht="13">
      <c r="A31" s="2"/>
    </row>
    <row r="32" spans="1:14" ht="13">
      <c r="A32" s="2"/>
    </row>
    <row r="33" spans="1:1" ht="13">
      <c r="A33" s="2"/>
    </row>
    <row r="34" spans="1:1" ht="13">
      <c r="A34" s="2"/>
    </row>
    <row r="35" spans="1:1" ht="13">
      <c r="A35" s="2"/>
    </row>
    <row r="36" spans="1:1" ht="13">
      <c r="A36" s="2"/>
    </row>
    <row r="37" spans="1:1" ht="13">
      <c r="A37" s="2"/>
    </row>
    <row r="38" spans="1:1" ht="13">
      <c r="A38" s="2"/>
    </row>
    <row r="39" spans="1:1" ht="13">
      <c r="A39" s="2"/>
    </row>
    <row r="40" spans="1:1" ht="13">
      <c r="A40" s="2"/>
    </row>
    <row r="41" spans="1:1" ht="13">
      <c r="A41" s="2"/>
    </row>
    <row r="42" spans="1:1" ht="13">
      <c r="A42" s="2"/>
    </row>
    <row r="43" spans="1:1" ht="13">
      <c r="A43" s="2"/>
    </row>
    <row r="44" spans="1:1" ht="13">
      <c r="A44" s="2"/>
    </row>
    <row r="45" spans="1:1" ht="13">
      <c r="A45" s="2"/>
    </row>
    <row r="46" spans="1:1" ht="13">
      <c r="A46" s="2"/>
    </row>
    <row r="47" spans="1:1" ht="13">
      <c r="A47" s="2"/>
    </row>
    <row r="48" spans="1:1" ht="13">
      <c r="A48" s="2"/>
    </row>
    <row r="49" spans="1:1" ht="13">
      <c r="A49" s="2"/>
    </row>
    <row r="50" spans="1:1" ht="13">
      <c r="A50" s="2"/>
    </row>
    <row r="51" spans="1:1" ht="13">
      <c r="A51" s="2"/>
    </row>
    <row r="52" spans="1:1" ht="13">
      <c r="A52" s="2"/>
    </row>
    <row r="53" spans="1:1" ht="13">
      <c r="A53" s="2"/>
    </row>
    <row r="54" spans="1:1" ht="13">
      <c r="A54" s="2"/>
    </row>
    <row r="55" spans="1:1" ht="13">
      <c r="A55" s="2"/>
    </row>
    <row r="56" spans="1:1" ht="13">
      <c r="A56" s="2"/>
    </row>
    <row r="57" spans="1:1" ht="13">
      <c r="A57" s="2"/>
    </row>
    <row r="58" spans="1:1" ht="13">
      <c r="A58" s="2"/>
    </row>
    <row r="59" spans="1:1" ht="13">
      <c r="A59" s="2"/>
    </row>
    <row r="60" spans="1:1" ht="13">
      <c r="A60" s="2"/>
    </row>
    <row r="61" spans="1:1" ht="13">
      <c r="A61" s="2"/>
    </row>
    <row r="62" spans="1:1" ht="13">
      <c r="A62" s="2"/>
    </row>
    <row r="63" spans="1:1" ht="13">
      <c r="A63" s="2"/>
    </row>
    <row r="64" spans="1:1" ht="13">
      <c r="A64" s="2"/>
    </row>
    <row r="65" spans="1:1" ht="13">
      <c r="A65" s="2"/>
    </row>
    <row r="66" spans="1:1" ht="13">
      <c r="A66" s="2"/>
    </row>
    <row r="67" spans="1:1" ht="13">
      <c r="A67" s="2"/>
    </row>
    <row r="68" spans="1:1" ht="13">
      <c r="A68" s="2"/>
    </row>
    <row r="69" spans="1:1" ht="13">
      <c r="A69" s="2"/>
    </row>
    <row r="70" spans="1:1" ht="13">
      <c r="A70" s="2"/>
    </row>
    <row r="71" spans="1:1" ht="13">
      <c r="A71" s="2"/>
    </row>
    <row r="72" spans="1:1" ht="13">
      <c r="A72" s="2"/>
    </row>
    <row r="73" spans="1:1" ht="13">
      <c r="A73" s="2"/>
    </row>
    <row r="74" spans="1:1" ht="13">
      <c r="A74" s="2"/>
    </row>
    <row r="75" spans="1:1" ht="13">
      <c r="A75" s="2"/>
    </row>
    <row r="76" spans="1:1" ht="13">
      <c r="A76" s="2"/>
    </row>
    <row r="77" spans="1:1" ht="13">
      <c r="A77" s="2"/>
    </row>
    <row r="78" spans="1:1" ht="13">
      <c r="A78" s="2"/>
    </row>
    <row r="79" spans="1:1" ht="13">
      <c r="A79" s="2"/>
    </row>
    <row r="80" spans="1:1" ht="13">
      <c r="A80" s="2"/>
    </row>
    <row r="81" spans="1:1" ht="13">
      <c r="A81" s="2"/>
    </row>
    <row r="82" spans="1:1" ht="13">
      <c r="A82" s="2"/>
    </row>
    <row r="83" spans="1:1" ht="13">
      <c r="A83" s="2"/>
    </row>
    <row r="84" spans="1:1" ht="13">
      <c r="A84" s="2"/>
    </row>
    <row r="85" spans="1:1" ht="13">
      <c r="A85" s="2"/>
    </row>
    <row r="86" spans="1:1" ht="13">
      <c r="A86" s="2"/>
    </row>
    <row r="87" spans="1:1" ht="13">
      <c r="A87" s="2"/>
    </row>
    <row r="88" spans="1:1" ht="13">
      <c r="A88" s="2"/>
    </row>
    <row r="89" spans="1:1" ht="13">
      <c r="A89" s="2"/>
    </row>
    <row r="90" spans="1:1" ht="13">
      <c r="A90" s="2"/>
    </row>
    <row r="91" spans="1:1" ht="13">
      <c r="A91" s="2"/>
    </row>
    <row r="92" spans="1:1" ht="13">
      <c r="A92" s="2"/>
    </row>
    <row r="93" spans="1:1" ht="13">
      <c r="A93" s="2"/>
    </row>
    <row r="94" spans="1:1" ht="13">
      <c r="A94" s="2"/>
    </row>
    <row r="95" spans="1:1" ht="13">
      <c r="A95" s="2"/>
    </row>
    <row r="96" spans="1:1" ht="13">
      <c r="A96" s="2"/>
    </row>
    <row r="97" spans="1:1" ht="13">
      <c r="A97" s="2"/>
    </row>
    <row r="98" spans="1:1" ht="13">
      <c r="A98" s="2"/>
    </row>
    <row r="99" spans="1:1" ht="13">
      <c r="A99" s="2"/>
    </row>
    <row r="100" spans="1:1" ht="13">
      <c r="A100" s="2"/>
    </row>
    <row r="101" spans="1:1" ht="13">
      <c r="A101" s="2"/>
    </row>
    <row r="102" spans="1:1" ht="13">
      <c r="A102" s="2"/>
    </row>
    <row r="103" spans="1:1" ht="13">
      <c r="A103" s="2"/>
    </row>
    <row r="104" spans="1:1" ht="13">
      <c r="A104" s="2"/>
    </row>
    <row r="105" spans="1:1" ht="13">
      <c r="A105" s="2"/>
    </row>
    <row r="106" spans="1:1" ht="13">
      <c r="A106" s="2"/>
    </row>
    <row r="107" spans="1:1" ht="13">
      <c r="A107" s="2"/>
    </row>
    <row r="108" spans="1:1" ht="13">
      <c r="A108" s="2"/>
    </row>
    <row r="109" spans="1:1" ht="13">
      <c r="A109" s="2"/>
    </row>
    <row r="110" spans="1:1" ht="13">
      <c r="A110" s="2"/>
    </row>
    <row r="111" spans="1:1" ht="13">
      <c r="A111" s="2"/>
    </row>
    <row r="112" spans="1:1" ht="13">
      <c r="A112" s="2"/>
    </row>
    <row r="113" spans="1:1" ht="13">
      <c r="A113" s="2"/>
    </row>
    <row r="114" spans="1:1" ht="13">
      <c r="A114" s="2"/>
    </row>
    <row r="115" spans="1:1" ht="13">
      <c r="A115" s="2"/>
    </row>
    <row r="116" spans="1:1" ht="13">
      <c r="A116" s="2"/>
    </row>
    <row r="117" spans="1:1" ht="13">
      <c r="A117" s="2"/>
    </row>
    <row r="118" spans="1:1" ht="13">
      <c r="A118" s="2"/>
    </row>
    <row r="119" spans="1:1" ht="13">
      <c r="A119" s="2"/>
    </row>
    <row r="120" spans="1:1" ht="13">
      <c r="A120" s="2"/>
    </row>
    <row r="121" spans="1:1" ht="13">
      <c r="A121" s="2"/>
    </row>
    <row r="122" spans="1:1" ht="13">
      <c r="A122" s="2"/>
    </row>
    <row r="123" spans="1:1" ht="13">
      <c r="A123" s="2"/>
    </row>
    <row r="124" spans="1:1" ht="13">
      <c r="A124" s="2"/>
    </row>
    <row r="125" spans="1:1" ht="13">
      <c r="A125" s="2"/>
    </row>
    <row r="126" spans="1:1" ht="13">
      <c r="A126" s="2"/>
    </row>
    <row r="127" spans="1:1" ht="13">
      <c r="A127" s="2"/>
    </row>
    <row r="128" spans="1:1" ht="13">
      <c r="A128" s="2"/>
    </row>
    <row r="129" spans="1:1" ht="13">
      <c r="A129" s="2"/>
    </row>
    <row r="130" spans="1:1" ht="13">
      <c r="A130" s="2"/>
    </row>
    <row r="131" spans="1:1" ht="13">
      <c r="A131" s="2"/>
    </row>
    <row r="132" spans="1:1" ht="13">
      <c r="A132" s="2"/>
    </row>
    <row r="133" spans="1:1" ht="13">
      <c r="A133" s="2"/>
    </row>
    <row r="134" spans="1:1" ht="13">
      <c r="A134" s="2"/>
    </row>
    <row r="135" spans="1:1" ht="13">
      <c r="A135" s="2"/>
    </row>
    <row r="136" spans="1:1" ht="13">
      <c r="A136" s="2"/>
    </row>
    <row r="137" spans="1:1" ht="13">
      <c r="A137" s="2"/>
    </row>
    <row r="138" spans="1:1" ht="13">
      <c r="A138" s="2"/>
    </row>
    <row r="139" spans="1:1" ht="13">
      <c r="A139" s="2"/>
    </row>
    <row r="140" spans="1:1" ht="13">
      <c r="A140" s="2"/>
    </row>
    <row r="141" spans="1:1" ht="13">
      <c r="A141" s="2"/>
    </row>
    <row r="142" spans="1:1" ht="13">
      <c r="A142" s="2"/>
    </row>
    <row r="143" spans="1:1" ht="13">
      <c r="A143" s="2"/>
    </row>
    <row r="144" spans="1:1" ht="13">
      <c r="A144" s="2"/>
    </row>
    <row r="145" spans="1:1" ht="13">
      <c r="A145" s="2"/>
    </row>
    <row r="146" spans="1:1" ht="13">
      <c r="A146" s="2"/>
    </row>
    <row r="147" spans="1:1" ht="13">
      <c r="A147" s="2"/>
    </row>
    <row r="148" spans="1:1" ht="13">
      <c r="A148" s="2"/>
    </row>
    <row r="149" spans="1:1" ht="13">
      <c r="A149" s="2"/>
    </row>
    <row r="150" spans="1:1" ht="13">
      <c r="A150" s="2"/>
    </row>
    <row r="151" spans="1:1" ht="13">
      <c r="A151" s="2"/>
    </row>
    <row r="152" spans="1:1" ht="13">
      <c r="A152" s="2"/>
    </row>
    <row r="153" spans="1:1" ht="13">
      <c r="A153" s="2"/>
    </row>
    <row r="154" spans="1:1" ht="13">
      <c r="A154" s="2"/>
    </row>
    <row r="155" spans="1:1" ht="13">
      <c r="A155" s="2"/>
    </row>
    <row r="156" spans="1:1" ht="13">
      <c r="A156" s="2"/>
    </row>
    <row r="157" spans="1:1" ht="13">
      <c r="A157" s="2"/>
    </row>
    <row r="158" spans="1:1" ht="13">
      <c r="A158" s="2"/>
    </row>
    <row r="159" spans="1:1" ht="13">
      <c r="A159" s="2"/>
    </row>
    <row r="160" spans="1:1" ht="13">
      <c r="A160" s="2"/>
    </row>
    <row r="161" spans="1:1" ht="13">
      <c r="A161" s="2"/>
    </row>
    <row r="162" spans="1:1" ht="13">
      <c r="A162" s="2"/>
    </row>
    <row r="163" spans="1:1" ht="13">
      <c r="A163" s="2"/>
    </row>
    <row r="164" spans="1:1" ht="13">
      <c r="A164" s="2"/>
    </row>
    <row r="165" spans="1:1" ht="13">
      <c r="A165" s="2"/>
    </row>
    <row r="166" spans="1:1" ht="13">
      <c r="A166" s="2"/>
    </row>
    <row r="167" spans="1:1" ht="13">
      <c r="A167" s="2"/>
    </row>
    <row r="168" spans="1:1" ht="13">
      <c r="A168" s="2"/>
    </row>
    <row r="169" spans="1:1" ht="13">
      <c r="A169" s="2"/>
    </row>
    <row r="170" spans="1:1" ht="13">
      <c r="A170" s="2"/>
    </row>
    <row r="171" spans="1:1" ht="13">
      <c r="A171" s="2"/>
    </row>
    <row r="172" spans="1:1" ht="13">
      <c r="A172" s="2"/>
    </row>
    <row r="173" spans="1:1" ht="13">
      <c r="A173" s="2"/>
    </row>
    <row r="174" spans="1:1" ht="13">
      <c r="A174" s="2"/>
    </row>
    <row r="175" spans="1:1" ht="13">
      <c r="A175" s="2"/>
    </row>
    <row r="176" spans="1:1" ht="13">
      <c r="A176" s="2"/>
    </row>
    <row r="177" spans="1:1" ht="13">
      <c r="A177" s="2"/>
    </row>
    <row r="178" spans="1:1" ht="13">
      <c r="A178" s="2"/>
    </row>
    <row r="179" spans="1:1" ht="13">
      <c r="A179" s="2"/>
    </row>
    <row r="180" spans="1:1" ht="13">
      <c r="A180" s="2"/>
    </row>
    <row r="181" spans="1:1" ht="13">
      <c r="A181" s="2"/>
    </row>
    <row r="182" spans="1:1" ht="13">
      <c r="A182" s="2"/>
    </row>
    <row r="183" spans="1:1" ht="13">
      <c r="A183" s="2"/>
    </row>
    <row r="184" spans="1:1" ht="13">
      <c r="A184" s="2"/>
    </row>
    <row r="185" spans="1:1" ht="13">
      <c r="A185" s="2"/>
    </row>
    <row r="186" spans="1:1" ht="13">
      <c r="A186" s="2"/>
    </row>
    <row r="187" spans="1:1" ht="13">
      <c r="A187" s="2"/>
    </row>
    <row r="188" spans="1:1" ht="13">
      <c r="A188" s="2"/>
    </row>
    <row r="189" spans="1:1" ht="13">
      <c r="A189" s="2"/>
    </row>
    <row r="190" spans="1:1" ht="13">
      <c r="A190" s="2"/>
    </row>
    <row r="191" spans="1:1" ht="13">
      <c r="A191" s="2"/>
    </row>
    <row r="192" spans="1:1" ht="13">
      <c r="A192" s="2"/>
    </row>
    <row r="193" spans="1:1" ht="13">
      <c r="A193" s="2"/>
    </row>
    <row r="194" spans="1:1" ht="13">
      <c r="A194" s="2"/>
    </row>
    <row r="195" spans="1:1" ht="13">
      <c r="A195" s="2"/>
    </row>
    <row r="196" spans="1:1" ht="13">
      <c r="A196" s="2"/>
    </row>
    <row r="197" spans="1:1" ht="13">
      <c r="A197" s="2"/>
    </row>
    <row r="198" spans="1:1" ht="13">
      <c r="A198" s="2"/>
    </row>
    <row r="199" spans="1:1" ht="13">
      <c r="A199" s="2"/>
    </row>
    <row r="200" spans="1:1" ht="13">
      <c r="A200" s="2"/>
    </row>
    <row r="201" spans="1:1" ht="13">
      <c r="A201" s="2"/>
    </row>
    <row r="202" spans="1:1" ht="13">
      <c r="A202" s="2"/>
    </row>
    <row r="203" spans="1:1" ht="13">
      <c r="A203" s="2"/>
    </row>
    <row r="204" spans="1:1" ht="13">
      <c r="A204" s="2"/>
    </row>
    <row r="205" spans="1:1" ht="13">
      <c r="A205" s="2"/>
    </row>
    <row r="206" spans="1:1" ht="13">
      <c r="A206" s="2"/>
    </row>
    <row r="207" spans="1:1" ht="13">
      <c r="A207" s="2"/>
    </row>
    <row r="208" spans="1:1" ht="13">
      <c r="A208" s="2"/>
    </row>
    <row r="209" spans="1:1" ht="13">
      <c r="A209" s="2"/>
    </row>
    <row r="210" spans="1:1" ht="13">
      <c r="A210" s="2"/>
    </row>
    <row r="211" spans="1:1" ht="13">
      <c r="A211" s="2"/>
    </row>
    <row r="212" spans="1:1" ht="13">
      <c r="A212" s="2"/>
    </row>
    <row r="213" spans="1:1" ht="13">
      <c r="A213" s="2"/>
    </row>
    <row r="214" spans="1:1" ht="13">
      <c r="A214" s="2"/>
    </row>
    <row r="215" spans="1:1" ht="13">
      <c r="A215" s="2"/>
    </row>
    <row r="216" spans="1:1" ht="13">
      <c r="A216" s="2"/>
    </row>
    <row r="217" spans="1:1" ht="13">
      <c r="A217" s="2"/>
    </row>
    <row r="218" spans="1:1" ht="13">
      <c r="A218" s="2"/>
    </row>
    <row r="219" spans="1:1" ht="13">
      <c r="A219" s="2"/>
    </row>
    <row r="220" spans="1:1" ht="13">
      <c r="A220" s="2"/>
    </row>
    <row r="221" spans="1:1" ht="13">
      <c r="A221" s="2"/>
    </row>
    <row r="222" spans="1:1" ht="13">
      <c r="A222" s="2"/>
    </row>
    <row r="223" spans="1:1" ht="13">
      <c r="A223" s="2"/>
    </row>
    <row r="224" spans="1:1" ht="13">
      <c r="A224" s="2"/>
    </row>
    <row r="225" spans="1:1" ht="13">
      <c r="A225" s="2"/>
    </row>
    <row r="226" spans="1:1" ht="13">
      <c r="A226" s="2"/>
    </row>
    <row r="227" spans="1:1" ht="13">
      <c r="A227" s="2"/>
    </row>
    <row r="228" spans="1:1" ht="13">
      <c r="A228" s="2"/>
    </row>
    <row r="229" spans="1:1" ht="13">
      <c r="A229" s="2"/>
    </row>
    <row r="230" spans="1:1" ht="13">
      <c r="A230" s="2"/>
    </row>
    <row r="231" spans="1:1" ht="13">
      <c r="A231" s="2"/>
    </row>
    <row r="232" spans="1:1" ht="13">
      <c r="A232" s="2"/>
    </row>
    <row r="233" spans="1:1" ht="13">
      <c r="A233" s="2"/>
    </row>
    <row r="234" spans="1:1" ht="13">
      <c r="A234" s="2"/>
    </row>
    <row r="235" spans="1:1" ht="13">
      <c r="A235" s="2"/>
    </row>
    <row r="236" spans="1:1" ht="13">
      <c r="A236" s="2"/>
    </row>
    <row r="237" spans="1:1" ht="13">
      <c r="A237" s="2"/>
    </row>
    <row r="238" spans="1:1" ht="13">
      <c r="A238" s="2"/>
    </row>
    <row r="239" spans="1:1" ht="13">
      <c r="A239" s="2"/>
    </row>
    <row r="240" spans="1:1" ht="13">
      <c r="A240" s="2"/>
    </row>
    <row r="241" spans="1:1" ht="13">
      <c r="A241" s="2"/>
    </row>
    <row r="242" spans="1:1" ht="13">
      <c r="A242" s="2"/>
    </row>
    <row r="243" spans="1:1" ht="13">
      <c r="A243" s="2"/>
    </row>
    <row r="244" spans="1:1" ht="13">
      <c r="A244" s="2"/>
    </row>
    <row r="245" spans="1:1" ht="13">
      <c r="A245" s="2"/>
    </row>
    <row r="246" spans="1:1" ht="13">
      <c r="A246" s="2"/>
    </row>
    <row r="247" spans="1:1" ht="13">
      <c r="A247" s="2"/>
    </row>
    <row r="248" spans="1:1" ht="13">
      <c r="A248" s="2"/>
    </row>
    <row r="249" spans="1:1" ht="13">
      <c r="A249" s="2"/>
    </row>
    <row r="250" spans="1:1" ht="13">
      <c r="A250" s="2"/>
    </row>
    <row r="251" spans="1:1" ht="13">
      <c r="A251" s="2"/>
    </row>
    <row r="252" spans="1:1" ht="13">
      <c r="A252" s="2"/>
    </row>
    <row r="253" spans="1:1" ht="13">
      <c r="A253" s="2"/>
    </row>
    <row r="254" spans="1:1" ht="13">
      <c r="A254" s="2"/>
    </row>
    <row r="255" spans="1:1" ht="13">
      <c r="A255" s="2"/>
    </row>
    <row r="256" spans="1:1" ht="13">
      <c r="A256" s="2"/>
    </row>
    <row r="257" spans="1:1" ht="13">
      <c r="A257" s="2"/>
    </row>
    <row r="258" spans="1:1" ht="13">
      <c r="A258" s="2"/>
    </row>
    <row r="259" spans="1:1" ht="13">
      <c r="A259" s="2"/>
    </row>
    <row r="260" spans="1:1" ht="13">
      <c r="A260" s="2"/>
    </row>
    <row r="261" spans="1:1" ht="13">
      <c r="A261" s="2"/>
    </row>
    <row r="262" spans="1:1" ht="13">
      <c r="A262" s="2"/>
    </row>
    <row r="263" spans="1:1" ht="13">
      <c r="A263" s="2"/>
    </row>
    <row r="264" spans="1:1" ht="13">
      <c r="A264" s="2"/>
    </row>
    <row r="265" spans="1:1" ht="13">
      <c r="A265" s="2"/>
    </row>
    <row r="266" spans="1:1" ht="13">
      <c r="A266" s="2"/>
    </row>
    <row r="267" spans="1:1" ht="13">
      <c r="A267" s="2"/>
    </row>
    <row r="268" spans="1:1" ht="13">
      <c r="A268" s="2"/>
    </row>
    <row r="269" spans="1:1" ht="13">
      <c r="A269" s="2"/>
    </row>
    <row r="270" spans="1:1" ht="13">
      <c r="A270" s="2"/>
    </row>
    <row r="271" spans="1:1" ht="13">
      <c r="A271" s="2"/>
    </row>
    <row r="272" spans="1:1" ht="13">
      <c r="A272" s="2"/>
    </row>
    <row r="273" spans="1:1" ht="13">
      <c r="A273" s="2"/>
    </row>
    <row r="274" spans="1:1" ht="13">
      <c r="A274" s="2"/>
    </row>
    <row r="275" spans="1:1" ht="13">
      <c r="A275" s="2"/>
    </row>
    <row r="276" spans="1:1" ht="13">
      <c r="A276" s="2"/>
    </row>
    <row r="277" spans="1:1" ht="13">
      <c r="A277" s="2"/>
    </row>
    <row r="278" spans="1:1" ht="13">
      <c r="A278" s="2"/>
    </row>
    <row r="279" spans="1:1" ht="13">
      <c r="A279" s="2"/>
    </row>
    <row r="280" spans="1:1" ht="13">
      <c r="A280" s="2"/>
    </row>
    <row r="281" spans="1:1" ht="13">
      <c r="A281" s="2"/>
    </row>
    <row r="282" spans="1:1" ht="13">
      <c r="A282" s="2"/>
    </row>
    <row r="283" spans="1:1" ht="13">
      <c r="A283" s="2"/>
    </row>
    <row r="284" spans="1:1" ht="13">
      <c r="A284" s="2"/>
    </row>
    <row r="285" spans="1:1" ht="13">
      <c r="A285" s="2"/>
    </row>
    <row r="286" spans="1:1" ht="13">
      <c r="A286" s="2"/>
    </row>
    <row r="287" spans="1:1" ht="13">
      <c r="A287" s="2"/>
    </row>
    <row r="288" spans="1:1" ht="13">
      <c r="A288" s="2"/>
    </row>
    <row r="289" spans="1:1" ht="13">
      <c r="A289" s="2"/>
    </row>
    <row r="290" spans="1:1" ht="13">
      <c r="A290" s="2"/>
    </row>
    <row r="291" spans="1:1" ht="13">
      <c r="A291" s="2"/>
    </row>
    <row r="292" spans="1:1" ht="13">
      <c r="A292" s="2"/>
    </row>
    <row r="293" spans="1:1" ht="13">
      <c r="A293" s="2"/>
    </row>
    <row r="294" spans="1:1" ht="13">
      <c r="A294" s="2"/>
    </row>
    <row r="295" spans="1:1" ht="13">
      <c r="A295" s="2"/>
    </row>
    <row r="296" spans="1:1" ht="13">
      <c r="A296" s="2"/>
    </row>
    <row r="297" spans="1:1" ht="13">
      <c r="A297" s="2"/>
    </row>
    <row r="298" spans="1:1" ht="13">
      <c r="A298" s="2"/>
    </row>
    <row r="299" spans="1:1" ht="13">
      <c r="A299" s="2"/>
    </row>
    <row r="300" spans="1:1" ht="13">
      <c r="A300" s="2"/>
    </row>
    <row r="301" spans="1:1" ht="13">
      <c r="A301" s="2"/>
    </row>
    <row r="302" spans="1:1" ht="13">
      <c r="A302" s="2"/>
    </row>
    <row r="303" spans="1:1" ht="13">
      <c r="A303" s="2"/>
    </row>
    <row r="304" spans="1:1" ht="13">
      <c r="A304" s="2"/>
    </row>
    <row r="305" spans="1:1" ht="13">
      <c r="A305" s="2"/>
    </row>
    <row r="306" spans="1:1" ht="13">
      <c r="A306" s="2"/>
    </row>
    <row r="307" spans="1:1" ht="13">
      <c r="A307" s="2"/>
    </row>
    <row r="308" spans="1:1" ht="13">
      <c r="A308" s="2"/>
    </row>
    <row r="309" spans="1:1" ht="13">
      <c r="A309" s="2"/>
    </row>
    <row r="310" spans="1:1" ht="13">
      <c r="A310" s="2"/>
    </row>
    <row r="311" spans="1:1" ht="13">
      <c r="A311" s="2"/>
    </row>
    <row r="312" spans="1:1" ht="13">
      <c r="A312" s="2"/>
    </row>
    <row r="313" spans="1:1" ht="13">
      <c r="A313" s="2"/>
    </row>
    <row r="314" spans="1:1" ht="13">
      <c r="A314" s="2"/>
    </row>
    <row r="315" spans="1:1" ht="13">
      <c r="A315" s="2"/>
    </row>
    <row r="316" spans="1:1" ht="13">
      <c r="A316" s="2"/>
    </row>
    <row r="317" spans="1:1" ht="13">
      <c r="A317" s="2"/>
    </row>
    <row r="318" spans="1:1" ht="13">
      <c r="A318" s="2"/>
    </row>
    <row r="319" spans="1:1" ht="13">
      <c r="A319" s="2"/>
    </row>
    <row r="320" spans="1:1" ht="13">
      <c r="A320" s="2"/>
    </row>
    <row r="321" spans="1:1" ht="13">
      <c r="A321" s="2"/>
    </row>
    <row r="322" spans="1:1" ht="13">
      <c r="A322" s="2"/>
    </row>
    <row r="323" spans="1:1" ht="13">
      <c r="A323" s="2"/>
    </row>
    <row r="324" spans="1:1" ht="13">
      <c r="A324" s="2"/>
    </row>
    <row r="325" spans="1:1" ht="13">
      <c r="A325" s="2"/>
    </row>
    <row r="326" spans="1:1" ht="13">
      <c r="A326" s="2"/>
    </row>
    <row r="327" spans="1:1" ht="13">
      <c r="A327" s="2"/>
    </row>
    <row r="328" spans="1:1" ht="13">
      <c r="A328" s="2"/>
    </row>
    <row r="329" spans="1:1" ht="13">
      <c r="A329" s="2"/>
    </row>
    <row r="330" spans="1:1" ht="13">
      <c r="A330" s="2"/>
    </row>
    <row r="331" spans="1:1" ht="13">
      <c r="A331" s="2"/>
    </row>
    <row r="332" spans="1:1" ht="13">
      <c r="A332" s="2"/>
    </row>
    <row r="333" spans="1:1" ht="13">
      <c r="A333" s="2"/>
    </row>
    <row r="334" spans="1:1" ht="13">
      <c r="A334" s="2"/>
    </row>
    <row r="335" spans="1:1" ht="13">
      <c r="A335" s="2"/>
    </row>
    <row r="336" spans="1:1" ht="13">
      <c r="A336" s="2"/>
    </row>
    <row r="337" spans="1:1" ht="13">
      <c r="A337" s="2"/>
    </row>
    <row r="338" spans="1:1" ht="13">
      <c r="A338" s="2"/>
    </row>
    <row r="339" spans="1:1" ht="13">
      <c r="A339" s="2"/>
    </row>
    <row r="340" spans="1:1" ht="13">
      <c r="A340" s="2"/>
    </row>
    <row r="341" spans="1:1" ht="13">
      <c r="A341" s="2"/>
    </row>
    <row r="342" spans="1:1" ht="13">
      <c r="A342" s="2"/>
    </row>
    <row r="343" spans="1:1" ht="13">
      <c r="A343" s="2"/>
    </row>
    <row r="344" spans="1:1" ht="13">
      <c r="A344" s="2"/>
    </row>
    <row r="345" spans="1:1" ht="13">
      <c r="A345" s="2"/>
    </row>
    <row r="346" spans="1:1" ht="13">
      <c r="A346" s="2"/>
    </row>
    <row r="347" spans="1:1" ht="13">
      <c r="A347" s="2"/>
    </row>
    <row r="348" spans="1:1" ht="13">
      <c r="A348" s="2"/>
    </row>
    <row r="349" spans="1:1" ht="13">
      <c r="A349" s="2"/>
    </row>
    <row r="350" spans="1:1" ht="13">
      <c r="A350" s="2"/>
    </row>
    <row r="351" spans="1:1" ht="13">
      <c r="A351" s="2"/>
    </row>
    <row r="352" spans="1:1" ht="13">
      <c r="A352" s="2"/>
    </row>
    <row r="353" spans="1:1" ht="13">
      <c r="A353" s="2"/>
    </row>
    <row r="354" spans="1:1" ht="13">
      <c r="A354" s="2"/>
    </row>
    <row r="355" spans="1:1" ht="13">
      <c r="A355" s="2"/>
    </row>
    <row r="356" spans="1:1" ht="13">
      <c r="A356" s="2"/>
    </row>
    <row r="357" spans="1:1" ht="13">
      <c r="A357" s="2"/>
    </row>
    <row r="358" spans="1:1" ht="13">
      <c r="A358" s="2"/>
    </row>
    <row r="359" spans="1:1" ht="13">
      <c r="A359" s="2"/>
    </row>
    <row r="360" spans="1:1" ht="13">
      <c r="A360" s="2"/>
    </row>
    <row r="361" spans="1:1" ht="13">
      <c r="A361" s="2"/>
    </row>
    <row r="362" spans="1:1" ht="13">
      <c r="A362" s="2"/>
    </row>
    <row r="363" spans="1:1" ht="13">
      <c r="A363" s="2"/>
    </row>
    <row r="364" spans="1:1" ht="13">
      <c r="A364" s="2"/>
    </row>
    <row r="365" spans="1:1" ht="13">
      <c r="A365" s="2"/>
    </row>
    <row r="366" spans="1:1" ht="13">
      <c r="A366" s="2"/>
    </row>
    <row r="367" spans="1:1" ht="13">
      <c r="A367" s="2"/>
    </row>
    <row r="368" spans="1:1" ht="13">
      <c r="A368" s="2"/>
    </row>
    <row r="369" spans="1:1" ht="13">
      <c r="A369" s="2"/>
    </row>
    <row r="370" spans="1:1" ht="13">
      <c r="A370" s="2"/>
    </row>
    <row r="371" spans="1:1" ht="13">
      <c r="A371" s="2"/>
    </row>
    <row r="372" spans="1:1" ht="13">
      <c r="A372" s="2"/>
    </row>
    <row r="373" spans="1:1" ht="13">
      <c r="A373" s="2"/>
    </row>
    <row r="374" spans="1:1" ht="13">
      <c r="A374" s="2"/>
    </row>
    <row r="375" spans="1:1" ht="13">
      <c r="A375" s="2"/>
    </row>
    <row r="376" spans="1:1" ht="13">
      <c r="A376" s="2"/>
    </row>
    <row r="377" spans="1:1" ht="13">
      <c r="A377" s="2"/>
    </row>
    <row r="378" spans="1:1" ht="13">
      <c r="A378" s="2"/>
    </row>
    <row r="379" spans="1:1" ht="13">
      <c r="A379" s="2"/>
    </row>
    <row r="380" spans="1:1" ht="13">
      <c r="A380" s="2"/>
    </row>
    <row r="381" spans="1:1" ht="13">
      <c r="A381" s="2"/>
    </row>
    <row r="382" spans="1:1" ht="13">
      <c r="A382" s="2"/>
    </row>
    <row r="383" spans="1:1" ht="13">
      <c r="A383" s="2"/>
    </row>
    <row r="384" spans="1:1" ht="13">
      <c r="A384" s="2"/>
    </row>
    <row r="385" spans="1:1" ht="13">
      <c r="A385" s="2"/>
    </row>
    <row r="386" spans="1:1" ht="13">
      <c r="A386" s="2"/>
    </row>
    <row r="387" spans="1:1" ht="13">
      <c r="A387" s="2"/>
    </row>
    <row r="388" spans="1:1" ht="13">
      <c r="A388" s="2"/>
    </row>
    <row r="389" spans="1:1" ht="13">
      <c r="A389" s="2"/>
    </row>
    <row r="390" spans="1:1" ht="13">
      <c r="A390" s="2"/>
    </row>
    <row r="391" spans="1:1" ht="13">
      <c r="A391" s="2"/>
    </row>
    <row r="392" spans="1:1" ht="13">
      <c r="A392" s="2"/>
    </row>
    <row r="393" spans="1:1" ht="13">
      <c r="A393" s="2"/>
    </row>
    <row r="394" spans="1:1" ht="13">
      <c r="A394" s="2"/>
    </row>
    <row r="395" spans="1:1" ht="13">
      <c r="A395" s="2"/>
    </row>
    <row r="396" spans="1:1" ht="13">
      <c r="A396" s="2"/>
    </row>
    <row r="397" spans="1:1" ht="13">
      <c r="A397" s="2"/>
    </row>
    <row r="398" spans="1:1" ht="13">
      <c r="A398" s="2"/>
    </row>
    <row r="399" spans="1:1" ht="13">
      <c r="A399" s="2"/>
    </row>
    <row r="400" spans="1:1" ht="13">
      <c r="A400" s="2"/>
    </row>
    <row r="401" spans="1:1" ht="13">
      <c r="A401" s="2"/>
    </row>
    <row r="402" spans="1:1" ht="13">
      <c r="A402" s="2"/>
    </row>
    <row r="403" spans="1:1" ht="13">
      <c r="A403" s="2"/>
    </row>
    <row r="404" spans="1:1" ht="13">
      <c r="A404" s="2"/>
    </row>
    <row r="405" spans="1:1" ht="13">
      <c r="A405" s="2"/>
    </row>
    <row r="406" spans="1:1" ht="13">
      <c r="A406" s="2"/>
    </row>
    <row r="407" spans="1:1" ht="13">
      <c r="A407" s="2"/>
    </row>
    <row r="408" spans="1:1" ht="13">
      <c r="A408" s="2"/>
    </row>
    <row r="409" spans="1:1" ht="13">
      <c r="A409" s="2"/>
    </row>
    <row r="410" spans="1:1" ht="13">
      <c r="A410" s="2"/>
    </row>
    <row r="411" spans="1:1" ht="13">
      <c r="A411" s="2"/>
    </row>
    <row r="412" spans="1:1" ht="13">
      <c r="A412" s="2"/>
    </row>
    <row r="413" spans="1:1" ht="13">
      <c r="A413" s="2"/>
    </row>
    <row r="414" spans="1:1" ht="13">
      <c r="A414" s="2"/>
    </row>
    <row r="415" spans="1:1" ht="13">
      <c r="A415" s="2"/>
    </row>
    <row r="416" spans="1:1" ht="13">
      <c r="A416" s="2"/>
    </row>
    <row r="417" spans="1:1" ht="13">
      <c r="A417" s="2"/>
    </row>
    <row r="418" spans="1:1" ht="13">
      <c r="A418" s="2"/>
    </row>
    <row r="419" spans="1:1" ht="13">
      <c r="A419" s="2"/>
    </row>
    <row r="420" spans="1:1" ht="13">
      <c r="A420" s="2"/>
    </row>
    <row r="421" spans="1:1" ht="13">
      <c r="A421" s="2"/>
    </row>
    <row r="422" spans="1:1" ht="13">
      <c r="A422" s="2"/>
    </row>
    <row r="423" spans="1:1" ht="13">
      <c r="A423" s="2"/>
    </row>
    <row r="424" spans="1:1" ht="13">
      <c r="A424" s="2"/>
    </row>
    <row r="425" spans="1:1" ht="13">
      <c r="A425" s="2"/>
    </row>
    <row r="426" spans="1:1" ht="13">
      <c r="A426" s="2"/>
    </row>
    <row r="427" spans="1:1" ht="13">
      <c r="A427" s="2"/>
    </row>
    <row r="428" spans="1:1" ht="13">
      <c r="A428" s="2"/>
    </row>
    <row r="429" spans="1:1" ht="13">
      <c r="A429" s="2"/>
    </row>
    <row r="430" spans="1:1" ht="13">
      <c r="A430" s="2"/>
    </row>
    <row r="431" spans="1:1" ht="13">
      <c r="A431" s="2"/>
    </row>
    <row r="432" spans="1:1" ht="13">
      <c r="A432" s="2"/>
    </row>
    <row r="433" spans="1:1" ht="13">
      <c r="A433" s="2"/>
    </row>
    <row r="434" spans="1:1" ht="13">
      <c r="A434" s="2"/>
    </row>
    <row r="435" spans="1:1" ht="13">
      <c r="A435" s="2"/>
    </row>
    <row r="436" spans="1:1" ht="13">
      <c r="A436" s="2"/>
    </row>
    <row r="437" spans="1:1" ht="13">
      <c r="A437" s="2"/>
    </row>
    <row r="438" spans="1:1" ht="13">
      <c r="A438" s="2"/>
    </row>
    <row r="439" spans="1:1" ht="13">
      <c r="A439" s="2"/>
    </row>
    <row r="440" spans="1:1" ht="13">
      <c r="A440" s="2"/>
    </row>
    <row r="441" spans="1:1" ht="13">
      <c r="A441" s="2"/>
    </row>
    <row r="442" spans="1:1" ht="13">
      <c r="A442" s="2"/>
    </row>
    <row r="443" spans="1:1" ht="13">
      <c r="A443" s="2"/>
    </row>
    <row r="444" spans="1:1" ht="13">
      <c r="A444" s="2"/>
    </row>
    <row r="445" spans="1:1" ht="13">
      <c r="A445" s="2"/>
    </row>
    <row r="446" spans="1:1" ht="13">
      <c r="A446" s="2"/>
    </row>
    <row r="447" spans="1:1" ht="13">
      <c r="A447" s="2"/>
    </row>
    <row r="448" spans="1:1" ht="13">
      <c r="A448" s="2"/>
    </row>
    <row r="449" spans="1:1" ht="13">
      <c r="A449" s="2"/>
    </row>
    <row r="450" spans="1:1" ht="13">
      <c r="A450" s="2"/>
    </row>
    <row r="451" spans="1:1" ht="13">
      <c r="A451" s="2"/>
    </row>
    <row r="452" spans="1:1" ht="13">
      <c r="A452" s="2"/>
    </row>
    <row r="453" spans="1:1" ht="13">
      <c r="A453" s="2"/>
    </row>
    <row r="454" spans="1:1" ht="13">
      <c r="A454" s="2"/>
    </row>
    <row r="455" spans="1:1" ht="13">
      <c r="A455" s="2"/>
    </row>
    <row r="456" spans="1:1" ht="13">
      <c r="A456" s="2"/>
    </row>
    <row r="457" spans="1:1" ht="13">
      <c r="A457" s="2"/>
    </row>
    <row r="458" spans="1:1" ht="13">
      <c r="A458" s="2"/>
    </row>
    <row r="459" spans="1:1" ht="13">
      <c r="A459" s="2"/>
    </row>
    <row r="460" spans="1:1" ht="13">
      <c r="A460" s="2"/>
    </row>
    <row r="461" spans="1:1" ht="13">
      <c r="A461" s="2"/>
    </row>
    <row r="462" spans="1:1" ht="13">
      <c r="A462" s="2"/>
    </row>
    <row r="463" spans="1:1" ht="13">
      <c r="A463" s="2"/>
    </row>
    <row r="464" spans="1:1" ht="13">
      <c r="A464" s="2"/>
    </row>
    <row r="465" spans="1:1" ht="13">
      <c r="A465" s="2"/>
    </row>
    <row r="466" spans="1:1" ht="13">
      <c r="A466" s="2"/>
    </row>
    <row r="467" spans="1:1" ht="13">
      <c r="A467" s="2"/>
    </row>
    <row r="468" spans="1:1" ht="13">
      <c r="A468" s="2"/>
    </row>
    <row r="469" spans="1:1" ht="13">
      <c r="A469" s="2"/>
    </row>
    <row r="470" spans="1:1" ht="13">
      <c r="A470" s="2"/>
    </row>
    <row r="471" spans="1:1" ht="13">
      <c r="A471" s="2"/>
    </row>
    <row r="472" spans="1:1" ht="13">
      <c r="A472" s="2"/>
    </row>
    <row r="473" spans="1:1" ht="13">
      <c r="A473" s="2"/>
    </row>
    <row r="474" spans="1:1" ht="13">
      <c r="A474" s="2"/>
    </row>
    <row r="475" spans="1:1" ht="13">
      <c r="A475" s="2"/>
    </row>
    <row r="476" spans="1:1" ht="13">
      <c r="A476" s="2"/>
    </row>
    <row r="477" spans="1:1" ht="13">
      <c r="A477" s="2"/>
    </row>
    <row r="478" spans="1:1" ht="13">
      <c r="A478" s="2"/>
    </row>
    <row r="479" spans="1:1" ht="13">
      <c r="A479" s="2"/>
    </row>
    <row r="480" spans="1:1" ht="13">
      <c r="A480" s="2"/>
    </row>
    <row r="481" spans="1:1" ht="13">
      <c r="A481" s="2"/>
    </row>
    <row r="482" spans="1:1" ht="13">
      <c r="A482" s="2"/>
    </row>
    <row r="483" spans="1:1" ht="13">
      <c r="A483" s="2"/>
    </row>
    <row r="484" spans="1:1" ht="13">
      <c r="A484" s="2"/>
    </row>
    <row r="485" spans="1:1" ht="13">
      <c r="A485" s="2"/>
    </row>
    <row r="486" spans="1:1" ht="13">
      <c r="A486" s="2"/>
    </row>
    <row r="487" spans="1:1" ht="13">
      <c r="A487" s="2"/>
    </row>
    <row r="488" spans="1:1" ht="13">
      <c r="A488" s="2"/>
    </row>
    <row r="489" spans="1:1" ht="13">
      <c r="A489" s="2"/>
    </row>
    <row r="490" spans="1:1" ht="13">
      <c r="A490" s="2"/>
    </row>
    <row r="491" spans="1:1" ht="13">
      <c r="A491" s="2"/>
    </row>
    <row r="492" spans="1:1" ht="13">
      <c r="A492" s="2"/>
    </row>
    <row r="493" spans="1:1" ht="13">
      <c r="A493" s="2"/>
    </row>
    <row r="494" spans="1:1" ht="13">
      <c r="A494" s="2"/>
    </row>
    <row r="495" spans="1:1" ht="13">
      <c r="A495" s="2"/>
    </row>
    <row r="496" spans="1:1" ht="13">
      <c r="A496" s="2"/>
    </row>
    <row r="497" spans="1:1" ht="13">
      <c r="A497" s="2"/>
    </row>
    <row r="498" spans="1:1" ht="13">
      <c r="A498" s="2"/>
    </row>
    <row r="499" spans="1:1" ht="13">
      <c r="A499" s="2"/>
    </row>
    <row r="500" spans="1:1" ht="13">
      <c r="A500" s="2"/>
    </row>
    <row r="501" spans="1:1" ht="13">
      <c r="A501" s="2"/>
    </row>
    <row r="502" spans="1:1" ht="13">
      <c r="A502" s="2"/>
    </row>
    <row r="503" spans="1:1" ht="13">
      <c r="A503" s="2"/>
    </row>
    <row r="504" spans="1:1" ht="13">
      <c r="A504" s="2"/>
    </row>
    <row r="505" spans="1:1" ht="13">
      <c r="A505" s="2"/>
    </row>
    <row r="506" spans="1:1" ht="13">
      <c r="A506" s="2"/>
    </row>
    <row r="507" spans="1:1" ht="13">
      <c r="A507" s="2"/>
    </row>
    <row r="508" spans="1:1" ht="13">
      <c r="A508" s="2"/>
    </row>
    <row r="509" spans="1:1" ht="13">
      <c r="A509" s="2"/>
    </row>
    <row r="510" spans="1:1" ht="13">
      <c r="A510" s="2"/>
    </row>
    <row r="511" spans="1:1" ht="13">
      <c r="A511" s="2"/>
    </row>
    <row r="512" spans="1:1" ht="13">
      <c r="A512" s="2"/>
    </row>
    <row r="513" spans="1:1" ht="13">
      <c r="A513" s="2"/>
    </row>
    <row r="514" spans="1:1" ht="13">
      <c r="A514" s="2"/>
    </row>
    <row r="515" spans="1:1" ht="13">
      <c r="A515" s="2"/>
    </row>
    <row r="516" spans="1:1" ht="13">
      <c r="A516" s="2"/>
    </row>
    <row r="517" spans="1:1" ht="13">
      <c r="A517" s="2"/>
    </row>
    <row r="518" spans="1:1" ht="13">
      <c r="A518" s="2"/>
    </row>
    <row r="519" spans="1:1" ht="13">
      <c r="A519" s="2"/>
    </row>
    <row r="520" spans="1:1" ht="13">
      <c r="A520" s="2"/>
    </row>
    <row r="521" spans="1:1" ht="13">
      <c r="A521" s="2"/>
    </row>
    <row r="522" spans="1:1" ht="13">
      <c r="A522" s="2"/>
    </row>
    <row r="523" spans="1:1" ht="13">
      <c r="A523" s="2"/>
    </row>
    <row r="524" spans="1:1" ht="13">
      <c r="A524" s="2"/>
    </row>
    <row r="525" spans="1:1" ht="13">
      <c r="A525" s="2"/>
    </row>
    <row r="526" spans="1:1" ht="13">
      <c r="A526" s="2"/>
    </row>
    <row r="527" spans="1:1" ht="13">
      <c r="A527" s="2"/>
    </row>
    <row r="528" spans="1:1" ht="13">
      <c r="A528" s="2"/>
    </row>
    <row r="529" spans="1:1" ht="13">
      <c r="A529" s="2"/>
    </row>
    <row r="530" spans="1:1" ht="13">
      <c r="A530" s="2"/>
    </row>
    <row r="531" spans="1:1" ht="13">
      <c r="A531" s="2"/>
    </row>
    <row r="532" spans="1:1" ht="13">
      <c r="A532" s="2"/>
    </row>
    <row r="533" spans="1:1" ht="13">
      <c r="A533" s="2"/>
    </row>
    <row r="534" spans="1:1" ht="13">
      <c r="A534" s="2"/>
    </row>
    <row r="535" spans="1:1" ht="13">
      <c r="A535" s="2"/>
    </row>
    <row r="536" spans="1:1" ht="13">
      <c r="A536" s="2"/>
    </row>
    <row r="537" spans="1:1" ht="13">
      <c r="A537" s="2"/>
    </row>
    <row r="538" spans="1:1" ht="13">
      <c r="A538" s="2"/>
    </row>
    <row r="539" spans="1:1" ht="13">
      <c r="A539" s="2"/>
    </row>
    <row r="540" spans="1:1" ht="13">
      <c r="A540" s="2"/>
    </row>
    <row r="541" spans="1:1" ht="13">
      <c r="A541" s="2"/>
    </row>
    <row r="542" spans="1:1" ht="13">
      <c r="A542" s="2"/>
    </row>
    <row r="543" spans="1:1" ht="13">
      <c r="A543" s="2"/>
    </row>
    <row r="544" spans="1:1" ht="13">
      <c r="A544" s="2"/>
    </row>
    <row r="545" spans="1:1" ht="13">
      <c r="A545" s="2"/>
    </row>
    <row r="546" spans="1:1" ht="13">
      <c r="A546" s="2"/>
    </row>
    <row r="547" spans="1:1" ht="13">
      <c r="A547" s="2"/>
    </row>
    <row r="548" spans="1:1" ht="13">
      <c r="A548" s="2"/>
    </row>
    <row r="549" spans="1:1" ht="13">
      <c r="A549" s="2"/>
    </row>
    <row r="550" spans="1:1" ht="13">
      <c r="A550" s="2"/>
    </row>
    <row r="551" spans="1:1" ht="13">
      <c r="A551" s="2"/>
    </row>
    <row r="552" spans="1:1" ht="13">
      <c r="A552" s="2"/>
    </row>
    <row r="553" spans="1:1" ht="13">
      <c r="A553" s="2"/>
    </row>
    <row r="554" spans="1:1" ht="13">
      <c r="A554" s="2"/>
    </row>
    <row r="555" spans="1:1" ht="13">
      <c r="A555" s="2"/>
    </row>
    <row r="556" spans="1:1" ht="13">
      <c r="A556" s="2"/>
    </row>
    <row r="557" spans="1:1" ht="13">
      <c r="A557" s="2"/>
    </row>
    <row r="558" spans="1:1" ht="13">
      <c r="A558" s="2"/>
    </row>
    <row r="559" spans="1:1" ht="13">
      <c r="A559" s="2"/>
    </row>
    <row r="560" spans="1:1" ht="13">
      <c r="A560" s="2"/>
    </row>
    <row r="561" spans="1:1" ht="13">
      <c r="A561" s="2"/>
    </row>
    <row r="562" spans="1:1" ht="13">
      <c r="A562" s="2"/>
    </row>
    <row r="563" spans="1:1" ht="13">
      <c r="A563" s="2"/>
    </row>
    <row r="564" spans="1:1" ht="13">
      <c r="A564" s="2"/>
    </row>
    <row r="565" spans="1:1" ht="13">
      <c r="A565" s="2"/>
    </row>
    <row r="566" spans="1:1" ht="13">
      <c r="A566" s="2"/>
    </row>
    <row r="567" spans="1:1" ht="13">
      <c r="A567" s="2"/>
    </row>
    <row r="568" spans="1:1" ht="13">
      <c r="A568" s="2"/>
    </row>
    <row r="569" spans="1:1" ht="13">
      <c r="A569" s="2"/>
    </row>
    <row r="570" spans="1:1" ht="13">
      <c r="A570" s="2"/>
    </row>
    <row r="571" spans="1:1" ht="13">
      <c r="A571" s="2"/>
    </row>
    <row r="572" spans="1:1" ht="13">
      <c r="A572" s="2"/>
    </row>
    <row r="573" spans="1:1" ht="13">
      <c r="A573" s="2"/>
    </row>
    <row r="574" spans="1:1" ht="13">
      <c r="A574" s="2"/>
    </row>
    <row r="575" spans="1:1" ht="13">
      <c r="A575" s="2"/>
    </row>
    <row r="576" spans="1:1" ht="13">
      <c r="A576" s="2"/>
    </row>
    <row r="577" spans="1:1" ht="13">
      <c r="A577" s="2"/>
    </row>
    <row r="578" spans="1:1" ht="13">
      <c r="A578" s="2"/>
    </row>
    <row r="579" spans="1:1" ht="13">
      <c r="A579" s="2"/>
    </row>
    <row r="580" spans="1:1" ht="13">
      <c r="A580" s="2"/>
    </row>
    <row r="581" spans="1:1" ht="13">
      <c r="A581" s="2"/>
    </row>
    <row r="582" spans="1:1" ht="13">
      <c r="A582" s="2"/>
    </row>
    <row r="583" spans="1:1" ht="13">
      <c r="A583" s="2"/>
    </row>
    <row r="584" spans="1:1" ht="13">
      <c r="A584" s="2"/>
    </row>
    <row r="585" spans="1:1" ht="13">
      <c r="A585" s="2"/>
    </row>
    <row r="586" spans="1:1" ht="13">
      <c r="A586" s="2"/>
    </row>
    <row r="587" spans="1:1" ht="13">
      <c r="A587" s="2"/>
    </row>
    <row r="588" spans="1:1" ht="13">
      <c r="A588" s="2"/>
    </row>
    <row r="589" spans="1:1" ht="13">
      <c r="A589" s="2"/>
    </row>
    <row r="590" spans="1:1" ht="13">
      <c r="A590" s="2"/>
    </row>
    <row r="591" spans="1:1" ht="13">
      <c r="A591" s="2"/>
    </row>
    <row r="592" spans="1:1" ht="13">
      <c r="A592" s="2"/>
    </row>
    <row r="593" spans="1:1" ht="13">
      <c r="A593" s="2"/>
    </row>
    <row r="594" spans="1:1" ht="13">
      <c r="A594" s="2"/>
    </row>
    <row r="595" spans="1:1" ht="13">
      <c r="A595" s="2"/>
    </row>
    <row r="596" spans="1:1" ht="13">
      <c r="A596" s="2"/>
    </row>
    <row r="597" spans="1:1" ht="13">
      <c r="A597" s="2"/>
    </row>
    <row r="598" spans="1:1" ht="13">
      <c r="A598" s="2"/>
    </row>
    <row r="599" spans="1:1" ht="13">
      <c r="A599" s="2"/>
    </row>
    <row r="600" spans="1:1" ht="13">
      <c r="A600" s="2"/>
    </row>
    <row r="601" spans="1:1" ht="13">
      <c r="A601" s="2"/>
    </row>
    <row r="602" spans="1:1" ht="13">
      <c r="A602" s="2"/>
    </row>
    <row r="603" spans="1:1" ht="13">
      <c r="A603" s="2"/>
    </row>
    <row r="604" spans="1:1" ht="13">
      <c r="A604" s="2"/>
    </row>
    <row r="605" spans="1:1" ht="13">
      <c r="A605" s="2"/>
    </row>
    <row r="606" spans="1:1" ht="13">
      <c r="A606" s="2"/>
    </row>
    <row r="607" spans="1:1" ht="13">
      <c r="A607" s="2"/>
    </row>
    <row r="608" spans="1:1" ht="13">
      <c r="A608" s="2"/>
    </row>
    <row r="609" spans="1:1" ht="13">
      <c r="A609" s="2"/>
    </row>
    <row r="610" spans="1:1" ht="13">
      <c r="A610" s="2"/>
    </row>
    <row r="611" spans="1:1" ht="13">
      <c r="A611" s="2"/>
    </row>
    <row r="612" spans="1:1" ht="13">
      <c r="A612" s="2"/>
    </row>
    <row r="613" spans="1:1" ht="13">
      <c r="A613" s="2"/>
    </row>
    <row r="614" spans="1:1" ht="13">
      <c r="A614" s="2"/>
    </row>
    <row r="615" spans="1:1" ht="13">
      <c r="A615" s="2"/>
    </row>
    <row r="616" spans="1:1" ht="13">
      <c r="A616" s="2"/>
    </row>
    <row r="617" spans="1:1" ht="13">
      <c r="A617" s="2"/>
    </row>
    <row r="618" spans="1:1" ht="13">
      <c r="A618" s="2"/>
    </row>
    <row r="619" spans="1:1" ht="13">
      <c r="A619" s="2"/>
    </row>
    <row r="620" spans="1:1" ht="13">
      <c r="A620" s="2"/>
    </row>
    <row r="621" spans="1:1" ht="13">
      <c r="A621" s="2"/>
    </row>
    <row r="622" spans="1:1" ht="13">
      <c r="A622" s="2"/>
    </row>
    <row r="623" spans="1:1" ht="13">
      <c r="A623" s="2"/>
    </row>
    <row r="624" spans="1:1" ht="13">
      <c r="A624" s="2"/>
    </row>
    <row r="625" spans="1:1" ht="13">
      <c r="A625" s="2"/>
    </row>
    <row r="626" spans="1:1" ht="13">
      <c r="A626" s="2"/>
    </row>
    <row r="627" spans="1:1" ht="13">
      <c r="A627" s="2"/>
    </row>
    <row r="628" spans="1:1" ht="13">
      <c r="A628" s="2"/>
    </row>
    <row r="629" spans="1:1" ht="13">
      <c r="A629" s="2"/>
    </row>
    <row r="630" spans="1:1" ht="13">
      <c r="A630" s="2"/>
    </row>
    <row r="631" spans="1:1" ht="13">
      <c r="A631" s="2"/>
    </row>
    <row r="632" spans="1:1" ht="13">
      <c r="A632" s="2"/>
    </row>
    <row r="633" spans="1:1" ht="13">
      <c r="A633" s="2"/>
    </row>
    <row r="634" spans="1:1" ht="13">
      <c r="A634" s="2"/>
    </row>
    <row r="635" spans="1:1" ht="13">
      <c r="A635" s="2"/>
    </row>
    <row r="636" spans="1:1" ht="13">
      <c r="A636" s="2"/>
    </row>
    <row r="637" spans="1:1" ht="13">
      <c r="A637" s="2"/>
    </row>
    <row r="638" spans="1:1" ht="13">
      <c r="A638" s="2"/>
    </row>
    <row r="639" spans="1:1" ht="13">
      <c r="A639" s="2"/>
    </row>
    <row r="640" spans="1:1" ht="13">
      <c r="A640" s="2"/>
    </row>
    <row r="641" spans="1:1" ht="13">
      <c r="A641" s="2"/>
    </row>
    <row r="642" spans="1:1" ht="13">
      <c r="A642" s="2"/>
    </row>
    <row r="643" spans="1:1" ht="13">
      <c r="A643" s="2"/>
    </row>
    <row r="644" spans="1:1" ht="13">
      <c r="A644" s="2"/>
    </row>
    <row r="645" spans="1:1" ht="13">
      <c r="A645" s="2"/>
    </row>
    <row r="646" spans="1:1" ht="13">
      <c r="A646" s="2"/>
    </row>
    <row r="647" spans="1:1" ht="13">
      <c r="A647" s="2"/>
    </row>
    <row r="648" spans="1:1" ht="13">
      <c r="A648" s="2"/>
    </row>
    <row r="649" spans="1:1" ht="13">
      <c r="A649" s="2"/>
    </row>
    <row r="650" spans="1:1" ht="13">
      <c r="A650" s="2"/>
    </row>
    <row r="651" spans="1:1" ht="13">
      <c r="A651" s="2"/>
    </row>
    <row r="652" spans="1:1" ht="13">
      <c r="A652" s="2"/>
    </row>
    <row r="653" spans="1:1" ht="13">
      <c r="A653" s="2"/>
    </row>
    <row r="654" spans="1:1" ht="13">
      <c r="A654" s="2"/>
    </row>
    <row r="655" spans="1:1" ht="13">
      <c r="A655" s="2"/>
    </row>
    <row r="656" spans="1:1" ht="13">
      <c r="A656" s="2"/>
    </row>
    <row r="657" spans="1:1" ht="13">
      <c r="A657" s="2"/>
    </row>
    <row r="658" spans="1:1" ht="13">
      <c r="A658" s="2"/>
    </row>
    <row r="659" spans="1:1" ht="13">
      <c r="A659" s="2"/>
    </row>
    <row r="660" spans="1:1" ht="13">
      <c r="A660" s="2"/>
    </row>
    <row r="661" spans="1:1" ht="13">
      <c r="A661" s="2"/>
    </row>
    <row r="662" spans="1:1" ht="13">
      <c r="A662" s="2"/>
    </row>
    <row r="663" spans="1:1" ht="13">
      <c r="A663" s="2"/>
    </row>
    <row r="664" spans="1:1" ht="13">
      <c r="A664" s="2"/>
    </row>
    <row r="665" spans="1:1" ht="13">
      <c r="A665" s="2"/>
    </row>
    <row r="666" spans="1:1" ht="13">
      <c r="A666" s="2"/>
    </row>
    <row r="667" spans="1:1" ht="13">
      <c r="A667" s="2"/>
    </row>
    <row r="668" spans="1:1" ht="13">
      <c r="A668" s="2"/>
    </row>
    <row r="669" spans="1:1" ht="13">
      <c r="A669" s="2"/>
    </row>
    <row r="670" spans="1:1" ht="13">
      <c r="A670" s="2"/>
    </row>
    <row r="671" spans="1:1" ht="13">
      <c r="A671" s="2"/>
    </row>
    <row r="672" spans="1:1" ht="13">
      <c r="A672" s="2"/>
    </row>
    <row r="673" spans="1:1" ht="13">
      <c r="A673" s="2"/>
    </row>
    <row r="674" spans="1:1" ht="13">
      <c r="A674" s="2"/>
    </row>
    <row r="675" spans="1:1" ht="13">
      <c r="A675" s="2"/>
    </row>
    <row r="676" spans="1:1" ht="13">
      <c r="A676" s="2"/>
    </row>
    <row r="677" spans="1:1" ht="13">
      <c r="A677" s="2"/>
    </row>
    <row r="678" spans="1:1" ht="13">
      <c r="A678" s="2"/>
    </row>
    <row r="679" spans="1:1" ht="13">
      <c r="A679" s="2"/>
    </row>
    <row r="680" spans="1:1" ht="13">
      <c r="A680" s="2"/>
    </row>
    <row r="681" spans="1:1" ht="13">
      <c r="A681" s="2"/>
    </row>
    <row r="682" spans="1:1" ht="13">
      <c r="A682" s="2"/>
    </row>
    <row r="683" spans="1:1" ht="13">
      <c r="A683" s="2"/>
    </row>
    <row r="684" spans="1:1" ht="13">
      <c r="A684" s="2"/>
    </row>
    <row r="685" spans="1:1" ht="13">
      <c r="A685" s="2"/>
    </row>
    <row r="686" spans="1:1" ht="13">
      <c r="A686" s="2"/>
    </row>
    <row r="687" spans="1:1" ht="13">
      <c r="A687" s="2"/>
    </row>
    <row r="688" spans="1:1" ht="13">
      <c r="A688" s="2"/>
    </row>
    <row r="689" spans="1:1" ht="13">
      <c r="A689" s="2"/>
    </row>
    <row r="690" spans="1:1" ht="13">
      <c r="A690" s="2"/>
    </row>
    <row r="691" spans="1:1" ht="13">
      <c r="A691" s="2"/>
    </row>
    <row r="692" spans="1:1" ht="13">
      <c r="A692" s="2"/>
    </row>
    <row r="693" spans="1:1" ht="13">
      <c r="A693" s="2"/>
    </row>
    <row r="694" spans="1:1" ht="13">
      <c r="A694" s="2"/>
    </row>
    <row r="695" spans="1:1" ht="13">
      <c r="A695" s="2"/>
    </row>
    <row r="696" spans="1:1" ht="13">
      <c r="A696" s="2"/>
    </row>
    <row r="697" spans="1:1" ht="13">
      <c r="A697" s="2"/>
    </row>
    <row r="698" spans="1:1" ht="13">
      <c r="A698" s="2"/>
    </row>
    <row r="699" spans="1:1" ht="13">
      <c r="A699" s="2"/>
    </row>
    <row r="700" spans="1:1" ht="13">
      <c r="A700" s="2"/>
    </row>
    <row r="701" spans="1:1" ht="13">
      <c r="A701" s="2"/>
    </row>
    <row r="702" spans="1:1" ht="13">
      <c r="A702" s="2"/>
    </row>
    <row r="703" spans="1:1" ht="13">
      <c r="A703" s="2"/>
    </row>
    <row r="704" spans="1:1" ht="13">
      <c r="A704" s="2"/>
    </row>
    <row r="705" spans="1:1" ht="13">
      <c r="A705" s="2"/>
    </row>
    <row r="706" spans="1:1" ht="13">
      <c r="A706" s="2"/>
    </row>
    <row r="707" spans="1:1" ht="13">
      <c r="A707" s="2"/>
    </row>
    <row r="708" spans="1:1" ht="13">
      <c r="A708" s="2"/>
    </row>
    <row r="709" spans="1:1" ht="13">
      <c r="A709" s="2"/>
    </row>
    <row r="710" spans="1:1" ht="13">
      <c r="A710" s="2"/>
    </row>
    <row r="711" spans="1:1" ht="13">
      <c r="A711" s="2"/>
    </row>
    <row r="712" spans="1:1" ht="13">
      <c r="A712" s="2"/>
    </row>
    <row r="713" spans="1:1" ht="13">
      <c r="A713" s="2"/>
    </row>
    <row r="714" spans="1:1" ht="13">
      <c r="A714" s="2"/>
    </row>
    <row r="715" spans="1:1" ht="13">
      <c r="A715" s="2"/>
    </row>
    <row r="716" spans="1:1" ht="13">
      <c r="A716" s="2"/>
    </row>
    <row r="717" spans="1:1" ht="13">
      <c r="A717" s="2"/>
    </row>
    <row r="718" spans="1:1" ht="13">
      <c r="A718" s="2"/>
    </row>
    <row r="719" spans="1:1" ht="13">
      <c r="A719" s="2"/>
    </row>
    <row r="720" spans="1:1" ht="13">
      <c r="A720" s="2"/>
    </row>
    <row r="721" spans="1:1" ht="13">
      <c r="A721" s="2"/>
    </row>
    <row r="722" spans="1:1" ht="13">
      <c r="A722" s="2"/>
    </row>
    <row r="723" spans="1:1" ht="13">
      <c r="A723" s="2"/>
    </row>
    <row r="724" spans="1:1" ht="13">
      <c r="A724" s="2"/>
    </row>
    <row r="725" spans="1:1" ht="13">
      <c r="A725" s="2"/>
    </row>
    <row r="726" spans="1:1" ht="13">
      <c r="A726" s="2"/>
    </row>
    <row r="727" spans="1:1" ht="13">
      <c r="A727" s="2"/>
    </row>
    <row r="728" spans="1:1" ht="13">
      <c r="A728" s="2"/>
    </row>
    <row r="729" spans="1:1" ht="13">
      <c r="A729" s="2"/>
    </row>
    <row r="730" spans="1:1" ht="13">
      <c r="A730" s="2"/>
    </row>
    <row r="731" spans="1:1" ht="13">
      <c r="A731" s="2"/>
    </row>
    <row r="732" spans="1:1" ht="13">
      <c r="A732" s="2"/>
    </row>
    <row r="733" spans="1:1" ht="13">
      <c r="A733" s="2"/>
    </row>
    <row r="734" spans="1:1" ht="13">
      <c r="A734" s="2"/>
    </row>
    <row r="735" spans="1:1" ht="13">
      <c r="A735" s="2"/>
    </row>
    <row r="736" spans="1:1" ht="13">
      <c r="A736" s="2"/>
    </row>
    <row r="737" spans="1:1" ht="13">
      <c r="A737" s="2"/>
    </row>
    <row r="738" spans="1:1" ht="13">
      <c r="A738" s="2"/>
    </row>
    <row r="739" spans="1:1" ht="13">
      <c r="A739" s="2"/>
    </row>
    <row r="740" spans="1:1" ht="13">
      <c r="A740" s="2"/>
    </row>
    <row r="741" spans="1:1" ht="13">
      <c r="A741" s="2"/>
    </row>
    <row r="742" spans="1:1" ht="13">
      <c r="A742" s="2"/>
    </row>
    <row r="743" spans="1:1" ht="13">
      <c r="A743" s="2"/>
    </row>
    <row r="744" spans="1:1" ht="13">
      <c r="A744" s="2"/>
    </row>
    <row r="745" spans="1:1" ht="13">
      <c r="A745" s="2"/>
    </row>
    <row r="746" spans="1:1" ht="13">
      <c r="A746" s="2"/>
    </row>
    <row r="747" spans="1:1" ht="13">
      <c r="A747" s="2"/>
    </row>
    <row r="748" spans="1:1" ht="13">
      <c r="A748" s="2"/>
    </row>
    <row r="749" spans="1:1" ht="13">
      <c r="A749" s="2"/>
    </row>
    <row r="750" spans="1:1" ht="13">
      <c r="A750" s="2"/>
    </row>
    <row r="751" spans="1:1" ht="13">
      <c r="A751" s="2"/>
    </row>
    <row r="752" spans="1:1" ht="13">
      <c r="A752" s="2"/>
    </row>
    <row r="753" spans="1:1" ht="13">
      <c r="A753" s="2"/>
    </row>
    <row r="754" spans="1:1" ht="13">
      <c r="A754" s="2"/>
    </row>
    <row r="755" spans="1:1" ht="13">
      <c r="A755" s="2"/>
    </row>
    <row r="756" spans="1:1" ht="13">
      <c r="A756" s="2"/>
    </row>
    <row r="757" spans="1:1" ht="13">
      <c r="A757" s="2"/>
    </row>
    <row r="758" spans="1:1" ht="13">
      <c r="A758" s="2"/>
    </row>
    <row r="759" spans="1:1" ht="13">
      <c r="A759" s="2"/>
    </row>
    <row r="760" spans="1:1" ht="13">
      <c r="A760" s="2"/>
    </row>
    <row r="761" spans="1:1" ht="13">
      <c r="A761" s="2"/>
    </row>
    <row r="762" spans="1:1" ht="13">
      <c r="A762" s="2"/>
    </row>
    <row r="763" spans="1:1" ht="13">
      <c r="A763" s="2"/>
    </row>
    <row r="764" spans="1:1" ht="13">
      <c r="A764" s="2"/>
    </row>
    <row r="765" spans="1:1" ht="13">
      <c r="A765" s="2"/>
    </row>
    <row r="766" spans="1:1" ht="13">
      <c r="A766" s="2"/>
    </row>
    <row r="767" spans="1:1" ht="13">
      <c r="A767" s="2"/>
    </row>
    <row r="768" spans="1:1" ht="13">
      <c r="A768" s="2"/>
    </row>
    <row r="769" spans="1:1" ht="13">
      <c r="A769" s="2"/>
    </row>
    <row r="770" spans="1:1" ht="13">
      <c r="A770" s="2"/>
    </row>
    <row r="771" spans="1:1" ht="13">
      <c r="A771" s="2"/>
    </row>
    <row r="772" spans="1:1" ht="13">
      <c r="A772" s="2"/>
    </row>
    <row r="773" spans="1:1" ht="13">
      <c r="A773" s="2"/>
    </row>
    <row r="774" spans="1:1" ht="13">
      <c r="A774" s="2"/>
    </row>
    <row r="775" spans="1:1" ht="13">
      <c r="A775" s="2"/>
    </row>
    <row r="776" spans="1:1" ht="13">
      <c r="A776" s="2"/>
    </row>
    <row r="777" spans="1:1" ht="13">
      <c r="A777" s="2"/>
    </row>
    <row r="778" spans="1:1" ht="13">
      <c r="A778" s="2"/>
    </row>
    <row r="779" spans="1:1" ht="13">
      <c r="A779" s="2"/>
    </row>
    <row r="780" spans="1:1" ht="13">
      <c r="A780" s="2"/>
    </row>
    <row r="781" spans="1:1" ht="13">
      <c r="A781" s="2"/>
    </row>
    <row r="782" spans="1:1" ht="13">
      <c r="A782" s="2"/>
    </row>
    <row r="783" spans="1:1" ht="13">
      <c r="A783" s="2"/>
    </row>
    <row r="784" spans="1:1" ht="13">
      <c r="A784" s="2"/>
    </row>
    <row r="785" spans="1:1" ht="13">
      <c r="A785" s="2"/>
    </row>
    <row r="786" spans="1:1" ht="13">
      <c r="A786" s="2"/>
    </row>
    <row r="787" spans="1:1" ht="13">
      <c r="A787" s="2"/>
    </row>
    <row r="788" spans="1:1" ht="13">
      <c r="A788" s="2"/>
    </row>
    <row r="789" spans="1:1" ht="13">
      <c r="A789" s="2"/>
    </row>
    <row r="790" spans="1:1" ht="13">
      <c r="A790" s="2"/>
    </row>
    <row r="791" spans="1:1" ht="13">
      <c r="A791" s="2"/>
    </row>
    <row r="792" spans="1:1" ht="13">
      <c r="A792" s="2"/>
    </row>
    <row r="793" spans="1:1" ht="13">
      <c r="A793" s="2"/>
    </row>
    <row r="794" spans="1:1" ht="13">
      <c r="A794" s="2"/>
    </row>
    <row r="795" spans="1:1" ht="13">
      <c r="A795" s="2"/>
    </row>
    <row r="796" spans="1:1" ht="13">
      <c r="A796" s="2"/>
    </row>
    <row r="797" spans="1:1" ht="13">
      <c r="A797" s="2"/>
    </row>
    <row r="798" spans="1:1" ht="13">
      <c r="A798" s="2"/>
    </row>
    <row r="799" spans="1:1" ht="13">
      <c r="A799" s="2"/>
    </row>
    <row r="800" spans="1:1" ht="13">
      <c r="A800" s="2"/>
    </row>
    <row r="801" spans="1:1" ht="13">
      <c r="A801" s="2"/>
    </row>
    <row r="802" spans="1:1" ht="13">
      <c r="A802" s="2"/>
    </row>
    <row r="803" spans="1:1" ht="13">
      <c r="A803" s="2"/>
    </row>
    <row r="804" spans="1:1" ht="13">
      <c r="A804" s="2"/>
    </row>
    <row r="805" spans="1:1" ht="13">
      <c r="A805" s="2"/>
    </row>
    <row r="806" spans="1:1" ht="13">
      <c r="A806" s="2"/>
    </row>
    <row r="807" spans="1:1" ht="13">
      <c r="A807" s="2"/>
    </row>
    <row r="808" spans="1:1" ht="13">
      <c r="A808" s="2"/>
    </row>
    <row r="809" spans="1:1" ht="13">
      <c r="A809" s="2"/>
    </row>
    <row r="810" spans="1:1" ht="13">
      <c r="A810" s="2"/>
    </row>
    <row r="811" spans="1:1" ht="13">
      <c r="A811" s="2"/>
    </row>
    <row r="812" spans="1:1" ht="13">
      <c r="A812" s="2"/>
    </row>
    <row r="813" spans="1:1" ht="13">
      <c r="A813" s="2"/>
    </row>
    <row r="814" spans="1:1" ht="13">
      <c r="A814" s="2"/>
    </row>
    <row r="815" spans="1:1" ht="13">
      <c r="A815" s="2"/>
    </row>
    <row r="816" spans="1:1" ht="13">
      <c r="A816" s="2"/>
    </row>
    <row r="817" spans="1:1" ht="13">
      <c r="A817" s="2"/>
    </row>
    <row r="818" spans="1:1" ht="13">
      <c r="A818" s="2"/>
    </row>
    <row r="819" spans="1:1" ht="13">
      <c r="A819" s="2"/>
    </row>
    <row r="820" spans="1:1" ht="13">
      <c r="A820" s="2"/>
    </row>
    <row r="821" spans="1:1" ht="13">
      <c r="A821" s="2"/>
    </row>
    <row r="822" spans="1:1" ht="13">
      <c r="A822" s="2"/>
    </row>
    <row r="823" spans="1:1" ht="13">
      <c r="A823" s="2"/>
    </row>
    <row r="824" spans="1:1" ht="13">
      <c r="A824" s="2"/>
    </row>
    <row r="825" spans="1:1" ht="13">
      <c r="A825" s="2"/>
    </row>
    <row r="826" spans="1:1" ht="13">
      <c r="A826" s="2"/>
    </row>
    <row r="827" spans="1:1" ht="13">
      <c r="A827" s="2"/>
    </row>
    <row r="828" spans="1:1" ht="13">
      <c r="A828" s="2"/>
    </row>
    <row r="829" spans="1:1" ht="13">
      <c r="A829" s="2"/>
    </row>
    <row r="830" spans="1:1" ht="13">
      <c r="A830" s="2"/>
    </row>
    <row r="831" spans="1:1" ht="13">
      <c r="A831" s="2"/>
    </row>
    <row r="832" spans="1:1" ht="13">
      <c r="A832" s="2"/>
    </row>
    <row r="833" spans="1:1" ht="13">
      <c r="A833" s="2"/>
    </row>
    <row r="834" spans="1:1" ht="13">
      <c r="A834" s="2"/>
    </row>
    <row r="835" spans="1:1" ht="13">
      <c r="A835" s="2"/>
    </row>
    <row r="836" spans="1:1" ht="13">
      <c r="A836" s="2"/>
    </row>
    <row r="837" spans="1:1" ht="13">
      <c r="A837" s="2"/>
    </row>
    <row r="838" spans="1:1" ht="13">
      <c r="A838" s="2"/>
    </row>
    <row r="839" spans="1:1" ht="13">
      <c r="A839" s="2"/>
    </row>
    <row r="840" spans="1:1" ht="13">
      <c r="A840" s="2"/>
    </row>
    <row r="841" spans="1:1" ht="13">
      <c r="A841" s="2"/>
    </row>
    <row r="842" spans="1:1" ht="13">
      <c r="A842" s="2"/>
    </row>
    <row r="843" spans="1:1" ht="13">
      <c r="A843" s="2"/>
    </row>
    <row r="844" spans="1:1" ht="13">
      <c r="A844" s="2"/>
    </row>
    <row r="845" spans="1:1" ht="13">
      <c r="A845" s="2"/>
    </row>
    <row r="846" spans="1:1" ht="13">
      <c r="A846" s="2"/>
    </row>
    <row r="847" spans="1:1" ht="13">
      <c r="A847" s="2"/>
    </row>
    <row r="848" spans="1:1" ht="13">
      <c r="A848" s="2"/>
    </row>
    <row r="849" spans="1:1" ht="13">
      <c r="A849" s="2"/>
    </row>
    <row r="850" spans="1:1" ht="13">
      <c r="A850" s="2"/>
    </row>
    <row r="851" spans="1:1" ht="13">
      <c r="A851" s="2"/>
    </row>
    <row r="852" spans="1:1" ht="13">
      <c r="A852" s="2"/>
    </row>
    <row r="853" spans="1:1" ht="13">
      <c r="A853" s="2"/>
    </row>
    <row r="854" spans="1:1" ht="13">
      <c r="A854" s="2"/>
    </row>
    <row r="855" spans="1:1" ht="13">
      <c r="A855" s="2"/>
    </row>
    <row r="856" spans="1:1" ht="13">
      <c r="A856" s="2"/>
    </row>
    <row r="857" spans="1:1" ht="13">
      <c r="A857" s="2"/>
    </row>
    <row r="858" spans="1:1" ht="13">
      <c r="A858" s="2"/>
    </row>
    <row r="859" spans="1:1" ht="13">
      <c r="A859" s="2"/>
    </row>
    <row r="860" spans="1:1" ht="13">
      <c r="A860" s="2"/>
    </row>
    <row r="861" spans="1:1" ht="13">
      <c r="A861" s="2"/>
    </row>
    <row r="862" spans="1:1" ht="13">
      <c r="A862" s="2"/>
    </row>
    <row r="863" spans="1:1" ht="13">
      <c r="A863" s="2"/>
    </row>
    <row r="864" spans="1:1" ht="13">
      <c r="A864" s="2"/>
    </row>
    <row r="865" spans="1:1" ht="13">
      <c r="A865" s="2"/>
    </row>
    <row r="866" spans="1:1" ht="13">
      <c r="A866" s="2"/>
    </row>
    <row r="867" spans="1:1" ht="13">
      <c r="A867" s="2"/>
    </row>
    <row r="868" spans="1:1" ht="13">
      <c r="A868" s="2"/>
    </row>
    <row r="869" spans="1:1" ht="13">
      <c r="A869" s="2"/>
    </row>
    <row r="870" spans="1:1" ht="13">
      <c r="A870" s="2"/>
    </row>
    <row r="871" spans="1:1" ht="13">
      <c r="A871" s="2"/>
    </row>
    <row r="872" spans="1:1" ht="13">
      <c r="A872" s="2"/>
    </row>
    <row r="873" spans="1:1" ht="13">
      <c r="A873" s="2"/>
    </row>
    <row r="874" spans="1:1" ht="13">
      <c r="A874" s="2"/>
    </row>
    <row r="875" spans="1:1" ht="13">
      <c r="A875" s="2"/>
    </row>
    <row r="876" spans="1:1" ht="13">
      <c r="A876" s="2"/>
    </row>
    <row r="877" spans="1:1" ht="13">
      <c r="A877" s="2"/>
    </row>
    <row r="878" spans="1:1" ht="13">
      <c r="A878" s="2"/>
    </row>
    <row r="879" spans="1:1" ht="13">
      <c r="A879" s="2"/>
    </row>
    <row r="880" spans="1:1" ht="13">
      <c r="A880" s="2"/>
    </row>
    <row r="881" spans="1:1" ht="13">
      <c r="A881" s="2"/>
    </row>
    <row r="882" spans="1:1" ht="13">
      <c r="A882" s="2"/>
    </row>
    <row r="883" spans="1:1" ht="13">
      <c r="A883" s="2"/>
    </row>
    <row r="884" spans="1:1" ht="13">
      <c r="A884" s="2"/>
    </row>
    <row r="885" spans="1:1" ht="13">
      <c r="A885" s="2"/>
    </row>
    <row r="886" spans="1:1" ht="13">
      <c r="A886" s="2"/>
    </row>
    <row r="887" spans="1:1" ht="13">
      <c r="A887" s="2"/>
    </row>
    <row r="888" spans="1:1" ht="13">
      <c r="A888" s="2"/>
    </row>
    <row r="889" spans="1:1" ht="13">
      <c r="A889" s="2"/>
    </row>
    <row r="890" spans="1:1" ht="13">
      <c r="A890" s="2"/>
    </row>
    <row r="891" spans="1:1" ht="13">
      <c r="A891" s="2"/>
    </row>
    <row r="892" spans="1:1" ht="13">
      <c r="A892" s="2"/>
    </row>
    <row r="893" spans="1:1" ht="13">
      <c r="A893" s="2"/>
    </row>
    <row r="894" spans="1:1" ht="13">
      <c r="A894" s="2"/>
    </row>
    <row r="895" spans="1:1" ht="13">
      <c r="A895" s="2"/>
    </row>
    <row r="896" spans="1:1" ht="13">
      <c r="A896" s="2"/>
    </row>
    <row r="897" spans="1:1" ht="13">
      <c r="A897" s="2"/>
    </row>
    <row r="898" spans="1:1" ht="13">
      <c r="A898" s="2"/>
    </row>
    <row r="899" spans="1:1" ht="13">
      <c r="A899" s="2"/>
    </row>
    <row r="900" spans="1:1" ht="13">
      <c r="A900" s="2"/>
    </row>
    <row r="901" spans="1:1" ht="13">
      <c r="A901" s="2"/>
    </row>
    <row r="902" spans="1:1" ht="13">
      <c r="A902" s="2"/>
    </row>
    <row r="903" spans="1:1" ht="13">
      <c r="A903" s="2"/>
    </row>
    <row r="904" spans="1:1" ht="13">
      <c r="A904" s="2"/>
    </row>
    <row r="905" spans="1:1" ht="13">
      <c r="A905" s="2"/>
    </row>
    <row r="906" spans="1:1" ht="13">
      <c r="A906" s="2"/>
    </row>
    <row r="907" spans="1:1" ht="13">
      <c r="A907" s="2"/>
    </row>
    <row r="908" spans="1:1" ht="13">
      <c r="A908" s="2"/>
    </row>
    <row r="909" spans="1:1" ht="13">
      <c r="A909" s="2"/>
    </row>
    <row r="910" spans="1:1" ht="13">
      <c r="A910" s="2"/>
    </row>
    <row r="911" spans="1:1" ht="13">
      <c r="A911" s="2"/>
    </row>
    <row r="912" spans="1:1" ht="13">
      <c r="A912" s="2"/>
    </row>
    <row r="913" spans="1:1" ht="13">
      <c r="A913" s="2"/>
    </row>
    <row r="914" spans="1:1" ht="13">
      <c r="A914" s="2"/>
    </row>
    <row r="915" spans="1:1" ht="13">
      <c r="A915" s="2"/>
    </row>
    <row r="916" spans="1:1" ht="13">
      <c r="A916" s="2"/>
    </row>
    <row r="917" spans="1:1" ht="13">
      <c r="A917" s="2"/>
    </row>
    <row r="918" spans="1:1" ht="13">
      <c r="A918" s="2"/>
    </row>
    <row r="919" spans="1:1" ht="13">
      <c r="A919" s="2"/>
    </row>
    <row r="920" spans="1:1" ht="13">
      <c r="A920" s="2"/>
    </row>
    <row r="921" spans="1:1" ht="13">
      <c r="A921" s="2"/>
    </row>
    <row r="922" spans="1:1" ht="13">
      <c r="A922" s="2"/>
    </row>
    <row r="923" spans="1:1" ht="13">
      <c r="A923" s="2"/>
    </row>
    <row r="924" spans="1:1" ht="13">
      <c r="A924" s="2"/>
    </row>
    <row r="925" spans="1:1" ht="13">
      <c r="A925" s="2"/>
    </row>
    <row r="926" spans="1:1" ht="13">
      <c r="A926" s="2"/>
    </row>
    <row r="927" spans="1:1" ht="13">
      <c r="A927" s="2"/>
    </row>
    <row r="928" spans="1:1" ht="13">
      <c r="A928" s="2"/>
    </row>
    <row r="929" spans="1:1" ht="13">
      <c r="A929" s="2"/>
    </row>
    <row r="930" spans="1:1" ht="13">
      <c r="A930" s="2"/>
    </row>
    <row r="931" spans="1:1" ht="13">
      <c r="A931" s="2"/>
    </row>
    <row r="932" spans="1:1" ht="13">
      <c r="A932" s="2"/>
    </row>
    <row r="933" spans="1:1" ht="13">
      <c r="A933" s="2"/>
    </row>
    <row r="934" spans="1:1" ht="13">
      <c r="A934" s="2"/>
    </row>
    <row r="935" spans="1:1" ht="13">
      <c r="A935" s="2"/>
    </row>
    <row r="936" spans="1:1" ht="13">
      <c r="A936" s="2"/>
    </row>
    <row r="937" spans="1:1" ht="13">
      <c r="A937" s="2"/>
    </row>
    <row r="938" spans="1:1" ht="13">
      <c r="A938" s="2"/>
    </row>
    <row r="939" spans="1:1" ht="13">
      <c r="A939" s="2"/>
    </row>
    <row r="940" spans="1:1" ht="13">
      <c r="A940" s="2"/>
    </row>
    <row r="941" spans="1:1" ht="13">
      <c r="A941" s="2"/>
    </row>
    <row r="942" spans="1:1" ht="13">
      <c r="A942" s="2"/>
    </row>
    <row r="943" spans="1:1" ht="13">
      <c r="A943" s="2"/>
    </row>
    <row r="944" spans="1:1" ht="13">
      <c r="A944" s="2"/>
    </row>
    <row r="945" spans="1:1" ht="13">
      <c r="A945" s="2"/>
    </row>
    <row r="946" spans="1:1" ht="13">
      <c r="A946" s="2"/>
    </row>
    <row r="947" spans="1:1" ht="13">
      <c r="A947" s="2"/>
    </row>
    <row r="948" spans="1:1" ht="13">
      <c r="A948" s="2"/>
    </row>
    <row r="949" spans="1:1" ht="13">
      <c r="A949" s="2"/>
    </row>
    <row r="950" spans="1:1" ht="13">
      <c r="A950" s="2"/>
    </row>
    <row r="951" spans="1:1" ht="13">
      <c r="A951" s="2"/>
    </row>
    <row r="952" spans="1:1" ht="13">
      <c r="A952" s="2"/>
    </row>
    <row r="953" spans="1:1" ht="13">
      <c r="A953" s="2"/>
    </row>
    <row r="954" spans="1:1" ht="13">
      <c r="A954" s="2"/>
    </row>
    <row r="955" spans="1:1" ht="13">
      <c r="A955" s="2"/>
    </row>
    <row r="956" spans="1:1" ht="13">
      <c r="A956" s="2"/>
    </row>
    <row r="957" spans="1:1" ht="13">
      <c r="A957" s="2"/>
    </row>
    <row r="958" spans="1:1" ht="13">
      <c r="A958" s="2"/>
    </row>
    <row r="959" spans="1:1" ht="13">
      <c r="A959" s="2"/>
    </row>
    <row r="960" spans="1:1" ht="13">
      <c r="A960" s="2"/>
    </row>
    <row r="961" spans="1:1" ht="13">
      <c r="A961" s="2"/>
    </row>
    <row r="962" spans="1:1" ht="13">
      <c r="A962" s="2"/>
    </row>
    <row r="963" spans="1:1" ht="13">
      <c r="A963" s="2"/>
    </row>
    <row r="964" spans="1:1" ht="13">
      <c r="A964" s="2"/>
    </row>
    <row r="965" spans="1:1" ht="13">
      <c r="A965" s="2"/>
    </row>
    <row r="966" spans="1:1" ht="13">
      <c r="A966" s="2"/>
    </row>
    <row r="967" spans="1:1" ht="13">
      <c r="A967" s="2"/>
    </row>
    <row r="968" spans="1:1" ht="13">
      <c r="A968" s="2"/>
    </row>
    <row r="969" spans="1:1" ht="13">
      <c r="A969" s="2"/>
    </row>
    <row r="970" spans="1:1" ht="13">
      <c r="A970" s="2"/>
    </row>
    <row r="971" spans="1:1" ht="13">
      <c r="A971" s="2"/>
    </row>
    <row r="972" spans="1:1" ht="13">
      <c r="A972" s="2"/>
    </row>
    <row r="973" spans="1:1" ht="13">
      <c r="A973" s="2"/>
    </row>
    <row r="974" spans="1:1" ht="13">
      <c r="A974" s="2"/>
    </row>
    <row r="975" spans="1:1" ht="13">
      <c r="A975" s="2"/>
    </row>
    <row r="976" spans="1:1" ht="13">
      <c r="A976" s="2"/>
    </row>
    <row r="977" spans="1:1" ht="13">
      <c r="A977" s="2"/>
    </row>
    <row r="978" spans="1:1" ht="13">
      <c r="A978" s="2"/>
    </row>
    <row r="979" spans="1:1" ht="13">
      <c r="A979" s="2"/>
    </row>
    <row r="980" spans="1:1" ht="13">
      <c r="A980" s="2"/>
    </row>
    <row r="981" spans="1:1" ht="13">
      <c r="A981" s="2"/>
    </row>
    <row r="982" spans="1:1" ht="13">
      <c r="A982" s="2"/>
    </row>
    <row r="983" spans="1:1" ht="13">
      <c r="A983" s="2"/>
    </row>
    <row r="984" spans="1:1" ht="13">
      <c r="A984" s="2"/>
    </row>
    <row r="985" spans="1:1" ht="13">
      <c r="A985" s="2"/>
    </row>
    <row r="986" spans="1:1" ht="13">
      <c r="A986" s="2"/>
    </row>
    <row r="987" spans="1:1" ht="13">
      <c r="A987" s="2"/>
    </row>
    <row r="988" spans="1:1" ht="13">
      <c r="A988" s="2"/>
    </row>
    <row r="989" spans="1:1" ht="13">
      <c r="A989" s="2"/>
    </row>
    <row r="990" spans="1:1" ht="13">
      <c r="A990" s="2"/>
    </row>
    <row r="991" spans="1:1" ht="13">
      <c r="A991" s="2"/>
    </row>
    <row r="992" spans="1:1" ht="13">
      <c r="A992" s="2"/>
    </row>
    <row r="993" spans="1:1" ht="13">
      <c r="A993" s="2"/>
    </row>
    <row r="994" spans="1:1" ht="13">
      <c r="A994" s="2"/>
    </row>
    <row r="995" spans="1:1" ht="13">
      <c r="A995" s="2"/>
    </row>
    <row r="996" spans="1:1" ht="13">
      <c r="A996" s="2"/>
    </row>
    <row r="997" spans="1:1" ht="13">
      <c r="A997" s="2"/>
    </row>
    <row r="998" spans="1:1" ht="13">
      <c r="A998" s="2"/>
    </row>
    <row r="999" spans="1:1" ht="13">
      <c r="A999" s="2"/>
    </row>
    <row r="1000" spans="1:1" ht="13">
      <c r="A1000" s="2"/>
    </row>
    <row r="1001" spans="1:1" ht="13">
      <c r="A100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1" max="1" width="52.5" customWidth="1"/>
  </cols>
  <sheetData>
    <row r="1" spans="1:15">
      <c r="A1" s="25"/>
      <c r="B1" s="14" t="s">
        <v>14</v>
      </c>
      <c r="C1" s="14" t="s">
        <v>2</v>
      </c>
      <c r="D1" s="14" t="s">
        <v>23</v>
      </c>
      <c r="E1" s="14" t="s">
        <v>24</v>
      </c>
      <c r="F1" s="14" t="s">
        <v>25</v>
      </c>
      <c r="G1" s="14" t="s">
        <v>17</v>
      </c>
      <c r="H1" s="14" t="s">
        <v>8</v>
      </c>
      <c r="I1" s="14" t="s">
        <v>18</v>
      </c>
      <c r="J1" s="14" t="s">
        <v>19</v>
      </c>
      <c r="K1" s="14" t="s">
        <v>20</v>
      </c>
      <c r="L1" s="14" t="s">
        <v>21</v>
      </c>
      <c r="M1" s="14" t="s">
        <v>26</v>
      </c>
      <c r="N1" s="14" t="s">
        <v>27</v>
      </c>
      <c r="O1" s="14"/>
    </row>
    <row r="2" spans="1:15">
      <c r="A2" s="25">
        <v>15012</v>
      </c>
      <c r="B2" s="26">
        <v>2166</v>
      </c>
      <c r="C2" s="26">
        <v>1776</v>
      </c>
      <c r="D2" s="27">
        <v>0.81899999999999995</v>
      </c>
      <c r="E2" s="26">
        <v>390</v>
      </c>
      <c r="F2" s="21">
        <f t="shared" ref="F2:F10" si="0">(E2/B2)*100</f>
        <v>18.005540166204987</v>
      </c>
      <c r="G2" s="26">
        <v>2</v>
      </c>
      <c r="H2" s="26">
        <v>1</v>
      </c>
      <c r="I2" s="26">
        <v>1</v>
      </c>
      <c r="J2" s="26">
        <v>136</v>
      </c>
      <c r="K2" s="26">
        <v>16</v>
      </c>
      <c r="L2" s="26">
        <v>3</v>
      </c>
      <c r="M2" s="27">
        <v>0.13300000000000001</v>
      </c>
      <c r="N2" s="29">
        <v>46126</v>
      </c>
    </row>
    <row r="3" spans="1:15">
      <c r="A3" s="25">
        <v>15224</v>
      </c>
      <c r="B3" s="26">
        <v>1863</v>
      </c>
      <c r="C3" s="26">
        <v>1579</v>
      </c>
      <c r="D3" s="27">
        <v>0.84699999999999998</v>
      </c>
      <c r="E3" s="26">
        <v>284</v>
      </c>
      <c r="F3" s="21">
        <f t="shared" si="0"/>
        <v>15.24422973698336</v>
      </c>
      <c r="G3" s="26">
        <v>0</v>
      </c>
      <c r="H3" s="26">
        <v>3</v>
      </c>
      <c r="I3" s="26">
        <v>3</v>
      </c>
      <c r="J3" s="26">
        <v>125</v>
      </c>
      <c r="K3" s="26">
        <v>19</v>
      </c>
      <c r="L3" s="26">
        <v>4</v>
      </c>
      <c r="M3" s="27">
        <v>0.129</v>
      </c>
      <c r="N3" s="29">
        <v>46126</v>
      </c>
    </row>
    <row r="4" spans="1:15">
      <c r="A4" s="25">
        <v>15201</v>
      </c>
      <c r="B4" s="26">
        <v>2188</v>
      </c>
      <c r="C4" s="26">
        <v>1941</v>
      </c>
      <c r="D4" s="27">
        <v>0.88700000000000001</v>
      </c>
      <c r="E4" s="26">
        <v>247</v>
      </c>
      <c r="F4" s="21">
        <f t="shared" si="0"/>
        <v>11.288848263254113</v>
      </c>
      <c r="G4" s="26">
        <v>1</v>
      </c>
      <c r="H4" s="26">
        <v>2</v>
      </c>
      <c r="I4" s="26">
        <v>2</v>
      </c>
      <c r="J4" s="26">
        <v>143</v>
      </c>
      <c r="K4" s="26">
        <v>14</v>
      </c>
      <c r="L4" s="26">
        <v>3</v>
      </c>
      <c r="M4" s="27">
        <v>0.105</v>
      </c>
      <c r="N4" s="29">
        <v>46126</v>
      </c>
    </row>
    <row r="5" spans="1:15">
      <c r="A5" s="25">
        <v>15218</v>
      </c>
      <c r="B5" s="26">
        <v>2230</v>
      </c>
      <c r="C5" s="26">
        <v>1902</v>
      </c>
      <c r="D5" s="27">
        <v>0.85199999999999998</v>
      </c>
      <c r="E5" s="26">
        <v>328</v>
      </c>
      <c r="F5" s="21">
        <f t="shared" si="0"/>
        <v>14.708520179372197</v>
      </c>
      <c r="G5" s="26">
        <v>1</v>
      </c>
      <c r="H5" s="26">
        <v>2</v>
      </c>
      <c r="I5" s="26">
        <v>1</v>
      </c>
      <c r="J5" s="26">
        <v>157</v>
      </c>
      <c r="K5" s="26">
        <v>12</v>
      </c>
      <c r="L5" s="26">
        <v>6</v>
      </c>
      <c r="M5" s="27">
        <v>0.127</v>
      </c>
      <c r="N5" s="29">
        <v>46126</v>
      </c>
    </row>
    <row r="6" spans="1:15">
      <c r="A6" s="25" t="s">
        <v>44</v>
      </c>
      <c r="B6" s="26">
        <v>2161</v>
      </c>
      <c r="C6" s="26">
        <v>1978</v>
      </c>
      <c r="D6" s="27">
        <v>0.91500000000000004</v>
      </c>
      <c r="E6" s="26">
        <v>183</v>
      </c>
      <c r="F6" s="21">
        <f t="shared" si="0"/>
        <v>8.468301712170291</v>
      </c>
      <c r="G6" s="26">
        <v>0</v>
      </c>
      <c r="H6" s="26">
        <v>0</v>
      </c>
      <c r="I6" s="26">
        <v>2</v>
      </c>
      <c r="J6" s="26">
        <v>97</v>
      </c>
      <c r="K6" s="26">
        <v>13</v>
      </c>
      <c r="L6" s="26">
        <v>4</v>
      </c>
      <c r="M6" s="27">
        <v>7.2999999999999995E-2</v>
      </c>
      <c r="N6" s="30">
        <v>46114</v>
      </c>
    </row>
    <row r="7" spans="1:15">
      <c r="A7" s="25" t="s">
        <v>45</v>
      </c>
      <c r="B7" s="26">
        <v>1982</v>
      </c>
      <c r="C7" s="26">
        <v>1784</v>
      </c>
      <c r="D7" s="31">
        <v>0.9</v>
      </c>
      <c r="E7" s="26">
        <v>198</v>
      </c>
      <c r="F7" s="21">
        <f t="shared" si="0"/>
        <v>9.9899091826437942</v>
      </c>
      <c r="G7" s="26">
        <v>0</v>
      </c>
      <c r="H7" s="26">
        <v>2</v>
      </c>
      <c r="I7" s="26">
        <v>4</v>
      </c>
      <c r="J7" s="26">
        <v>127</v>
      </c>
      <c r="K7" s="26">
        <v>22</v>
      </c>
      <c r="L7" s="26">
        <v>5</v>
      </c>
      <c r="M7" s="27">
        <v>0.11700000000000001</v>
      </c>
      <c r="N7" s="30">
        <v>46113</v>
      </c>
    </row>
    <row r="8" spans="1:15">
      <c r="A8" s="25" t="s">
        <v>28</v>
      </c>
      <c r="B8" s="26">
        <v>128</v>
      </c>
      <c r="C8" s="26">
        <v>103</v>
      </c>
      <c r="D8" s="27">
        <v>0.80400000000000005</v>
      </c>
      <c r="E8" s="26">
        <v>25</v>
      </c>
      <c r="F8" s="21">
        <f t="shared" si="0"/>
        <v>19.53125</v>
      </c>
      <c r="G8" s="26">
        <v>0</v>
      </c>
      <c r="H8" s="26">
        <v>0</v>
      </c>
      <c r="I8" s="26">
        <v>1</v>
      </c>
      <c r="J8" s="26">
        <v>7</v>
      </c>
      <c r="K8" s="26">
        <v>2</v>
      </c>
      <c r="L8" s="26">
        <v>0</v>
      </c>
      <c r="M8" s="27">
        <v>9.7000000000000003E-2</v>
      </c>
      <c r="N8" s="29">
        <v>46107</v>
      </c>
    </row>
    <row r="9" spans="1:15">
      <c r="A9" s="25" t="s">
        <v>30</v>
      </c>
      <c r="B9" s="26">
        <v>96</v>
      </c>
      <c r="C9" s="26">
        <v>76</v>
      </c>
      <c r="D9" s="27">
        <v>0.79100000000000004</v>
      </c>
      <c r="E9" s="26">
        <v>20</v>
      </c>
      <c r="F9" s="21">
        <f t="shared" si="0"/>
        <v>20.833333333333336</v>
      </c>
      <c r="G9" s="26">
        <v>0</v>
      </c>
      <c r="H9" s="26">
        <v>0</v>
      </c>
      <c r="I9" s="26">
        <v>0</v>
      </c>
      <c r="J9" s="26">
        <v>3</v>
      </c>
      <c r="K9" s="26">
        <v>0</v>
      </c>
      <c r="L9" s="26">
        <v>1</v>
      </c>
      <c r="M9" s="27">
        <v>6.5000000000000002E-2</v>
      </c>
      <c r="N9" s="29">
        <v>46107</v>
      </c>
    </row>
    <row r="10" spans="1:15">
      <c r="A10" s="25" t="s">
        <v>31</v>
      </c>
      <c r="B10" s="26">
        <v>151</v>
      </c>
      <c r="C10" s="26">
        <v>134</v>
      </c>
      <c r="D10" s="27">
        <v>0.88700000000000001</v>
      </c>
      <c r="E10" s="26">
        <v>17</v>
      </c>
      <c r="F10" s="21">
        <f t="shared" si="0"/>
        <v>11.258278145695364</v>
      </c>
      <c r="G10" s="26">
        <v>0</v>
      </c>
      <c r="H10" s="26">
        <v>0</v>
      </c>
      <c r="I10" s="26">
        <v>0</v>
      </c>
      <c r="J10" s="26">
        <v>13</v>
      </c>
      <c r="K10" s="26">
        <v>0</v>
      </c>
      <c r="L10" s="26">
        <v>1</v>
      </c>
      <c r="M10" s="27">
        <v>0.126</v>
      </c>
      <c r="N10" s="29">
        <v>46107</v>
      </c>
    </row>
    <row r="11" spans="1:15" ht="15.75" customHeight="1">
      <c r="A11" s="9"/>
    </row>
    <row r="12" spans="1:15" ht="15.75" customHeight="1">
      <c r="A12" s="9"/>
    </row>
    <row r="13" spans="1:15" ht="15.75" customHeight="1">
      <c r="A13" s="9"/>
    </row>
    <row r="14" spans="1:15" ht="15.75" customHeight="1">
      <c r="A14" s="9"/>
    </row>
    <row r="15" spans="1:15" ht="15.75" customHeight="1">
      <c r="A15" s="9"/>
    </row>
    <row r="16" spans="1:15" ht="15.75" customHeight="1">
      <c r="A16" s="9"/>
    </row>
    <row r="17" spans="1:1" ht="15.75" customHeight="1">
      <c r="A17" s="9"/>
    </row>
    <row r="18" spans="1:1" ht="15.75" customHeight="1">
      <c r="A18" s="9"/>
    </row>
    <row r="19" spans="1:1" ht="15.75" customHeight="1">
      <c r="A19" s="9"/>
    </row>
    <row r="20" spans="1:1" ht="15.75" customHeight="1">
      <c r="A20" s="9"/>
    </row>
    <row r="21" spans="1:1" ht="15.75" customHeight="1">
      <c r="A21" s="9"/>
    </row>
    <row r="22" spans="1:1" ht="15.75" customHeight="1">
      <c r="A22" s="9"/>
    </row>
    <row r="23" spans="1:1" ht="15.75" customHeight="1">
      <c r="A23" s="9"/>
    </row>
    <row r="24" spans="1:1" ht="15.75" customHeight="1">
      <c r="A24" s="9"/>
    </row>
    <row r="25" spans="1:1" ht="15.75" customHeight="1">
      <c r="A25" s="9"/>
    </row>
    <row r="26" spans="1:1" ht="15.75" customHeight="1">
      <c r="A26" s="9"/>
    </row>
    <row r="27" spans="1:1" ht="15.75" customHeight="1">
      <c r="A27" s="9"/>
    </row>
    <row r="28" spans="1:1" ht="15.75" customHeight="1">
      <c r="A28" s="9"/>
    </row>
    <row r="29" spans="1:1" ht="15.75" customHeight="1">
      <c r="A29" s="9"/>
    </row>
    <row r="30" spans="1:1" ht="15.75" customHeight="1">
      <c r="A30" s="9"/>
    </row>
    <row r="31" spans="1:1" ht="15.75" customHeight="1">
      <c r="A31" s="9"/>
    </row>
    <row r="32" spans="1:1" ht="15.75" customHeight="1">
      <c r="A32" s="9"/>
    </row>
    <row r="33" spans="1:12" ht="15.75" customHeight="1">
      <c r="A33" s="9"/>
    </row>
    <row r="34" spans="1:12">
      <c r="A34" s="9"/>
      <c r="C34" s="32"/>
      <c r="D34" s="33"/>
      <c r="E34" s="14"/>
      <c r="F34" s="14"/>
      <c r="G34" s="14"/>
      <c r="H34" s="14"/>
      <c r="I34" s="28"/>
      <c r="J34" s="28"/>
      <c r="K34" s="34"/>
      <c r="L34" s="18"/>
    </row>
    <row r="35" spans="1:12">
      <c r="A35" s="9"/>
      <c r="C35" s="32"/>
      <c r="D35" s="33"/>
      <c r="E35" s="14"/>
      <c r="F35" s="14"/>
      <c r="G35" s="14"/>
      <c r="H35" s="14"/>
      <c r="I35" s="28"/>
      <c r="J35" s="28"/>
      <c r="K35" s="34"/>
      <c r="L35" s="18"/>
    </row>
    <row r="36" spans="1:12">
      <c r="A36" s="9"/>
      <c r="C36" s="32"/>
      <c r="D36" s="33"/>
      <c r="E36" s="14"/>
      <c r="F36" s="14"/>
      <c r="G36" s="14"/>
      <c r="H36" s="14"/>
      <c r="I36" s="28"/>
      <c r="J36" s="28"/>
      <c r="K36" s="34"/>
      <c r="L36" s="18"/>
    </row>
    <row r="37" spans="1:12" ht="15.75" customHeight="1">
      <c r="A37" s="9"/>
    </row>
    <row r="38" spans="1:12" ht="15.75" customHeight="1">
      <c r="A38" s="9"/>
    </row>
    <row r="39" spans="1:12" ht="15.75" customHeight="1">
      <c r="A39" s="9"/>
    </row>
    <row r="40" spans="1:12" ht="15.75" customHeight="1">
      <c r="A40" s="9"/>
    </row>
    <row r="41" spans="1:12" ht="15.75" customHeight="1">
      <c r="A41" s="9"/>
    </row>
    <row r="42" spans="1:12" ht="15.75" customHeight="1">
      <c r="A42" s="9"/>
    </row>
    <row r="43" spans="1:12" ht="15.75" customHeight="1">
      <c r="A43" s="9"/>
    </row>
    <row r="44" spans="1:12" ht="15.75" customHeight="1">
      <c r="A44" s="9"/>
    </row>
    <row r="45" spans="1:12" ht="15.75" customHeight="1">
      <c r="A45" s="9"/>
    </row>
    <row r="46" spans="1:12" ht="15.75" customHeight="1">
      <c r="A46" s="9"/>
    </row>
    <row r="47" spans="1:12" ht="15.75" customHeight="1">
      <c r="A47" s="9"/>
    </row>
    <row r="48" spans="1:12" ht="15.75" customHeight="1">
      <c r="A48" s="9"/>
    </row>
    <row r="49" spans="1:1" ht="15.75" customHeight="1">
      <c r="A49" s="9"/>
    </row>
    <row r="50" spans="1:1" ht="15.75" customHeight="1">
      <c r="A50" s="9"/>
    </row>
    <row r="51" spans="1:1" ht="15.75" customHeight="1">
      <c r="A51" s="9"/>
    </row>
    <row r="52" spans="1:1" ht="15.75" customHeight="1">
      <c r="A52" s="9"/>
    </row>
    <row r="53" spans="1:1" ht="13">
      <c r="A53" s="9"/>
    </row>
    <row r="54" spans="1:1" ht="13">
      <c r="A54" s="9"/>
    </row>
    <row r="55" spans="1:1" ht="13">
      <c r="A55" s="9"/>
    </row>
    <row r="56" spans="1:1" ht="13">
      <c r="A56" s="9"/>
    </row>
    <row r="57" spans="1:1" ht="13">
      <c r="A57" s="9"/>
    </row>
    <row r="58" spans="1:1" ht="13">
      <c r="A58" s="9"/>
    </row>
    <row r="59" spans="1:1" ht="13">
      <c r="A59" s="9"/>
    </row>
    <row r="60" spans="1:1" ht="13">
      <c r="A60" s="9"/>
    </row>
    <row r="61" spans="1:1" ht="13">
      <c r="A61" s="9"/>
    </row>
    <row r="62" spans="1:1" ht="13">
      <c r="A62" s="9"/>
    </row>
    <row r="63" spans="1:1" ht="13">
      <c r="A63" s="9"/>
    </row>
    <row r="64" spans="1:1" ht="13">
      <c r="A64" s="9"/>
    </row>
    <row r="65" spans="1:1" ht="13">
      <c r="A65" s="9"/>
    </row>
    <row r="66" spans="1:1" ht="13">
      <c r="A66" s="9"/>
    </row>
    <row r="67" spans="1:1" ht="13">
      <c r="A67" s="9"/>
    </row>
    <row r="68" spans="1:1" ht="13">
      <c r="A68" s="9"/>
    </row>
    <row r="69" spans="1:1" ht="13">
      <c r="A69" s="9"/>
    </row>
    <row r="70" spans="1:1" ht="13">
      <c r="A70" s="9"/>
    </row>
    <row r="71" spans="1:1" ht="13">
      <c r="A71" s="9"/>
    </row>
    <row r="72" spans="1:1" ht="13">
      <c r="A72" s="9"/>
    </row>
    <row r="73" spans="1:1" ht="13">
      <c r="A73" s="9"/>
    </row>
    <row r="74" spans="1:1" ht="13">
      <c r="A74" s="9"/>
    </row>
    <row r="75" spans="1:1" ht="13">
      <c r="A75" s="9"/>
    </row>
    <row r="76" spans="1:1" ht="13">
      <c r="A76" s="9"/>
    </row>
    <row r="77" spans="1:1" ht="13">
      <c r="A77" s="9"/>
    </row>
    <row r="78" spans="1:1" ht="13">
      <c r="A78" s="9"/>
    </row>
    <row r="79" spans="1:1" ht="13">
      <c r="A79" s="9"/>
    </row>
    <row r="80" spans="1:1" ht="13">
      <c r="A80" s="9"/>
    </row>
    <row r="81" spans="1:1" ht="13">
      <c r="A81" s="9"/>
    </row>
    <row r="82" spans="1:1" ht="13">
      <c r="A82" s="9"/>
    </row>
    <row r="83" spans="1:1" ht="13">
      <c r="A83" s="9"/>
    </row>
    <row r="84" spans="1:1" ht="13">
      <c r="A84" s="9"/>
    </row>
    <row r="85" spans="1:1" ht="13">
      <c r="A85" s="9"/>
    </row>
    <row r="86" spans="1:1" ht="13">
      <c r="A86" s="9"/>
    </row>
    <row r="87" spans="1:1" ht="13">
      <c r="A87" s="9"/>
    </row>
    <row r="88" spans="1:1" ht="13">
      <c r="A88" s="9"/>
    </row>
    <row r="89" spans="1:1" ht="13">
      <c r="A89" s="9"/>
    </row>
    <row r="90" spans="1:1" ht="13">
      <c r="A90" s="9"/>
    </row>
    <row r="91" spans="1:1" ht="13">
      <c r="A91" s="9"/>
    </row>
    <row r="92" spans="1:1" ht="13">
      <c r="A92" s="9"/>
    </row>
    <row r="93" spans="1:1" ht="13">
      <c r="A93" s="9"/>
    </row>
    <row r="94" spans="1:1" ht="13">
      <c r="A94" s="9"/>
    </row>
    <row r="95" spans="1:1" ht="13">
      <c r="A95" s="9"/>
    </row>
    <row r="96" spans="1:1" ht="13">
      <c r="A96" s="9"/>
    </row>
    <row r="97" spans="1:1" ht="13">
      <c r="A97" s="9"/>
    </row>
    <row r="98" spans="1:1" ht="13">
      <c r="A98" s="9"/>
    </row>
    <row r="99" spans="1:1" ht="13">
      <c r="A99" s="9"/>
    </row>
    <row r="100" spans="1:1" ht="13">
      <c r="A100" s="9"/>
    </row>
    <row r="101" spans="1:1" ht="13">
      <c r="A101" s="9"/>
    </row>
    <row r="102" spans="1:1" ht="13">
      <c r="A102" s="9"/>
    </row>
    <row r="103" spans="1:1" ht="13">
      <c r="A103" s="9"/>
    </row>
    <row r="104" spans="1:1" ht="13">
      <c r="A104" s="9"/>
    </row>
    <row r="105" spans="1:1" ht="13">
      <c r="A105" s="9"/>
    </row>
    <row r="106" spans="1:1" ht="13">
      <c r="A106" s="9"/>
    </row>
    <row r="107" spans="1:1" ht="13">
      <c r="A107" s="9"/>
    </row>
    <row r="108" spans="1:1" ht="13">
      <c r="A108" s="9"/>
    </row>
    <row r="109" spans="1:1" ht="13">
      <c r="A109" s="9"/>
    </row>
    <row r="110" spans="1:1" ht="13">
      <c r="A110" s="9"/>
    </row>
    <row r="111" spans="1:1" ht="13">
      <c r="A111" s="9"/>
    </row>
    <row r="112" spans="1:1" ht="13">
      <c r="A112" s="9"/>
    </row>
    <row r="113" spans="1:1" ht="13">
      <c r="A113" s="9"/>
    </row>
    <row r="114" spans="1:1" ht="13">
      <c r="A114" s="9"/>
    </row>
    <row r="115" spans="1:1" ht="13">
      <c r="A115" s="9"/>
    </row>
    <row r="116" spans="1:1" ht="13">
      <c r="A116" s="9"/>
    </row>
    <row r="117" spans="1:1" ht="13">
      <c r="A117" s="9"/>
    </row>
    <row r="118" spans="1:1" ht="13">
      <c r="A118" s="9"/>
    </row>
    <row r="119" spans="1:1" ht="13">
      <c r="A119" s="9"/>
    </row>
    <row r="120" spans="1:1" ht="13">
      <c r="A120" s="9"/>
    </row>
    <row r="121" spans="1:1" ht="13">
      <c r="A121" s="9"/>
    </row>
    <row r="122" spans="1:1" ht="13">
      <c r="A122" s="9"/>
    </row>
    <row r="123" spans="1:1" ht="13">
      <c r="A123" s="9"/>
    </row>
    <row r="124" spans="1:1" ht="13">
      <c r="A124" s="9"/>
    </row>
    <row r="125" spans="1:1" ht="13">
      <c r="A125" s="9"/>
    </row>
    <row r="126" spans="1:1" ht="13">
      <c r="A126" s="9"/>
    </row>
    <row r="127" spans="1:1" ht="13">
      <c r="A127" s="9"/>
    </row>
    <row r="128" spans="1:1" ht="13">
      <c r="A128" s="9"/>
    </row>
    <row r="129" spans="1:1" ht="13">
      <c r="A129" s="9"/>
    </row>
    <row r="130" spans="1:1" ht="13">
      <c r="A130" s="9"/>
    </row>
    <row r="131" spans="1:1" ht="13">
      <c r="A131" s="9"/>
    </row>
    <row r="132" spans="1:1" ht="13">
      <c r="A132" s="9"/>
    </row>
    <row r="133" spans="1:1" ht="13">
      <c r="A133" s="9"/>
    </row>
    <row r="134" spans="1:1" ht="13">
      <c r="A134" s="9"/>
    </row>
    <row r="135" spans="1:1" ht="13">
      <c r="A135" s="9"/>
    </row>
    <row r="136" spans="1:1" ht="13">
      <c r="A136" s="9"/>
    </row>
    <row r="137" spans="1:1" ht="13">
      <c r="A137" s="9"/>
    </row>
    <row r="138" spans="1:1" ht="13">
      <c r="A138" s="9"/>
    </row>
    <row r="139" spans="1:1" ht="13">
      <c r="A139" s="9"/>
    </row>
    <row r="140" spans="1:1" ht="13">
      <c r="A140" s="9"/>
    </row>
    <row r="141" spans="1:1" ht="13">
      <c r="A141" s="9"/>
    </row>
    <row r="142" spans="1:1" ht="13">
      <c r="A142" s="9"/>
    </row>
    <row r="143" spans="1:1" ht="13">
      <c r="A143" s="9"/>
    </row>
    <row r="144" spans="1:1" ht="13">
      <c r="A144" s="9"/>
    </row>
    <row r="145" spans="1:1" ht="13">
      <c r="A145" s="9"/>
    </row>
    <row r="146" spans="1:1" ht="13">
      <c r="A146" s="9"/>
    </row>
    <row r="147" spans="1:1" ht="13">
      <c r="A147" s="9"/>
    </row>
    <row r="148" spans="1:1" ht="13">
      <c r="A148" s="9"/>
    </row>
    <row r="149" spans="1:1" ht="13">
      <c r="A149" s="9"/>
    </row>
    <row r="150" spans="1:1" ht="13">
      <c r="A150" s="9"/>
    </row>
    <row r="151" spans="1:1" ht="13">
      <c r="A151" s="9"/>
    </row>
    <row r="152" spans="1:1" ht="13">
      <c r="A152" s="9"/>
    </row>
    <row r="153" spans="1:1" ht="13">
      <c r="A153" s="9"/>
    </row>
    <row r="154" spans="1:1" ht="13">
      <c r="A154" s="9"/>
    </row>
    <row r="155" spans="1:1" ht="13">
      <c r="A155" s="9"/>
    </row>
    <row r="156" spans="1:1" ht="13">
      <c r="A156" s="9"/>
    </row>
    <row r="157" spans="1:1" ht="13">
      <c r="A157" s="9"/>
    </row>
    <row r="158" spans="1:1" ht="13">
      <c r="A158" s="9"/>
    </row>
    <row r="159" spans="1:1" ht="13">
      <c r="A159" s="9"/>
    </row>
    <row r="160" spans="1:1" ht="13">
      <c r="A160" s="9"/>
    </row>
    <row r="161" spans="1:1" ht="13">
      <c r="A161" s="9"/>
    </row>
    <row r="162" spans="1:1" ht="13">
      <c r="A162" s="9"/>
    </row>
    <row r="163" spans="1:1" ht="13">
      <c r="A163" s="9"/>
    </row>
    <row r="164" spans="1:1" ht="13">
      <c r="A164" s="9"/>
    </row>
    <row r="165" spans="1:1" ht="13">
      <c r="A165" s="9"/>
    </row>
    <row r="166" spans="1:1" ht="13">
      <c r="A166" s="9"/>
    </row>
    <row r="167" spans="1:1" ht="13">
      <c r="A167" s="9"/>
    </row>
    <row r="168" spans="1:1" ht="13">
      <c r="A168" s="9"/>
    </row>
    <row r="169" spans="1:1" ht="13">
      <c r="A169" s="9"/>
    </row>
    <row r="170" spans="1:1" ht="13">
      <c r="A170" s="9"/>
    </row>
    <row r="171" spans="1:1" ht="13">
      <c r="A171" s="9"/>
    </row>
    <row r="172" spans="1:1" ht="13">
      <c r="A172" s="9"/>
    </row>
    <row r="173" spans="1:1" ht="13">
      <c r="A173" s="9"/>
    </row>
    <row r="174" spans="1:1" ht="13">
      <c r="A174" s="9"/>
    </row>
    <row r="175" spans="1:1" ht="13">
      <c r="A175" s="9"/>
    </row>
    <row r="176" spans="1:1" ht="13">
      <c r="A176" s="9"/>
    </row>
    <row r="177" spans="1:1" ht="13">
      <c r="A177" s="9"/>
    </row>
    <row r="178" spans="1:1" ht="13">
      <c r="A178" s="9"/>
    </row>
    <row r="179" spans="1:1" ht="13">
      <c r="A179" s="9"/>
    </row>
    <row r="180" spans="1:1" ht="13">
      <c r="A180" s="9"/>
    </row>
    <row r="181" spans="1:1" ht="13">
      <c r="A181" s="9"/>
    </row>
    <row r="182" spans="1:1" ht="13">
      <c r="A182" s="9"/>
    </row>
    <row r="183" spans="1:1" ht="13">
      <c r="A183" s="9"/>
    </row>
    <row r="184" spans="1:1" ht="13">
      <c r="A184" s="9"/>
    </row>
    <row r="185" spans="1:1" ht="13">
      <c r="A185" s="9"/>
    </row>
    <row r="186" spans="1:1" ht="13">
      <c r="A186" s="9"/>
    </row>
    <row r="187" spans="1:1" ht="13">
      <c r="A187" s="9"/>
    </row>
    <row r="188" spans="1:1" ht="13">
      <c r="A188" s="9"/>
    </row>
    <row r="189" spans="1:1" ht="13">
      <c r="A189" s="9"/>
    </row>
    <row r="190" spans="1:1" ht="13">
      <c r="A190" s="9"/>
    </row>
    <row r="191" spans="1:1" ht="13">
      <c r="A191" s="9"/>
    </row>
    <row r="192" spans="1:1" ht="13">
      <c r="A192" s="9"/>
    </row>
    <row r="193" spans="1:1" ht="13">
      <c r="A193" s="9"/>
    </row>
    <row r="194" spans="1:1" ht="13">
      <c r="A194" s="9"/>
    </row>
    <row r="195" spans="1:1" ht="13">
      <c r="A195" s="9"/>
    </row>
    <row r="196" spans="1:1" ht="13">
      <c r="A196" s="9"/>
    </row>
    <row r="197" spans="1:1" ht="13">
      <c r="A197" s="9"/>
    </row>
    <row r="198" spans="1:1" ht="13">
      <c r="A198" s="9"/>
    </row>
    <row r="199" spans="1:1" ht="13">
      <c r="A199" s="9"/>
    </row>
    <row r="200" spans="1:1" ht="13">
      <c r="A200" s="9"/>
    </row>
    <row r="201" spans="1:1" ht="13">
      <c r="A201" s="9"/>
    </row>
    <row r="202" spans="1:1" ht="13">
      <c r="A202" s="9"/>
    </row>
    <row r="203" spans="1:1" ht="13">
      <c r="A203" s="9"/>
    </row>
    <row r="204" spans="1:1" ht="13">
      <c r="A204" s="9"/>
    </row>
    <row r="205" spans="1:1" ht="13">
      <c r="A205" s="9"/>
    </row>
    <row r="206" spans="1:1" ht="13">
      <c r="A206" s="9"/>
    </row>
    <row r="207" spans="1:1" ht="13">
      <c r="A207" s="9"/>
    </row>
    <row r="208" spans="1:1" ht="13">
      <c r="A208" s="9"/>
    </row>
    <row r="209" spans="1:1" ht="13">
      <c r="A209" s="9"/>
    </row>
    <row r="210" spans="1:1" ht="13">
      <c r="A210" s="9"/>
    </row>
    <row r="211" spans="1:1" ht="13">
      <c r="A211" s="9"/>
    </row>
    <row r="212" spans="1:1" ht="13">
      <c r="A212" s="9"/>
    </row>
    <row r="213" spans="1:1" ht="13">
      <c r="A213" s="9"/>
    </row>
    <row r="214" spans="1:1" ht="13">
      <c r="A214" s="9"/>
    </row>
    <row r="215" spans="1:1" ht="13">
      <c r="A215" s="9"/>
    </row>
    <row r="216" spans="1:1" ht="13">
      <c r="A216" s="9"/>
    </row>
    <row r="217" spans="1:1" ht="13">
      <c r="A217" s="9"/>
    </row>
    <row r="218" spans="1:1" ht="13">
      <c r="A218" s="9"/>
    </row>
    <row r="219" spans="1:1" ht="13">
      <c r="A219" s="9"/>
    </row>
    <row r="220" spans="1:1" ht="13">
      <c r="A220" s="9"/>
    </row>
    <row r="221" spans="1:1" ht="13">
      <c r="A221" s="9"/>
    </row>
    <row r="222" spans="1:1" ht="13">
      <c r="A222" s="9"/>
    </row>
    <row r="223" spans="1:1" ht="13">
      <c r="A223" s="9"/>
    </row>
    <row r="224" spans="1:1" ht="13">
      <c r="A224" s="9"/>
    </row>
    <row r="225" spans="1:1" ht="13">
      <c r="A225" s="9"/>
    </row>
    <row r="226" spans="1:1" ht="13">
      <c r="A226" s="9"/>
    </row>
    <row r="227" spans="1:1" ht="13">
      <c r="A227" s="9"/>
    </row>
    <row r="228" spans="1:1" ht="13">
      <c r="A228" s="9"/>
    </row>
    <row r="229" spans="1:1" ht="13">
      <c r="A229" s="9"/>
    </row>
    <row r="230" spans="1:1" ht="13">
      <c r="A230" s="9"/>
    </row>
    <row r="231" spans="1:1" ht="13">
      <c r="A231" s="9"/>
    </row>
    <row r="232" spans="1:1" ht="13">
      <c r="A232" s="9"/>
    </row>
    <row r="233" spans="1:1" ht="13">
      <c r="A233" s="9"/>
    </row>
    <row r="234" spans="1:1" ht="13">
      <c r="A234" s="9"/>
    </row>
    <row r="235" spans="1:1" ht="13">
      <c r="A235" s="9"/>
    </row>
    <row r="236" spans="1:1" ht="13">
      <c r="A236" s="9"/>
    </row>
    <row r="237" spans="1:1" ht="13">
      <c r="A237" s="9"/>
    </row>
    <row r="238" spans="1:1" ht="13">
      <c r="A238" s="9"/>
    </row>
    <row r="239" spans="1:1" ht="13">
      <c r="A239" s="9"/>
    </row>
    <row r="240" spans="1:1" ht="13">
      <c r="A240" s="9"/>
    </row>
    <row r="241" spans="1:1" ht="13">
      <c r="A241" s="9"/>
    </row>
    <row r="242" spans="1:1" ht="13">
      <c r="A242" s="9"/>
    </row>
    <row r="243" spans="1:1" ht="13">
      <c r="A243" s="9"/>
    </row>
    <row r="244" spans="1:1" ht="13">
      <c r="A244" s="9"/>
    </row>
    <row r="245" spans="1:1" ht="13">
      <c r="A245" s="9"/>
    </row>
    <row r="246" spans="1:1" ht="13">
      <c r="A246" s="9"/>
    </row>
    <row r="247" spans="1:1" ht="13">
      <c r="A247" s="9"/>
    </row>
    <row r="248" spans="1:1" ht="13">
      <c r="A248" s="9"/>
    </row>
    <row r="249" spans="1:1" ht="13">
      <c r="A249" s="9"/>
    </row>
    <row r="250" spans="1:1" ht="13">
      <c r="A250" s="9"/>
    </row>
    <row r="251" spans="1:1" ht="13">
      <c r="A251" s="9"/>
    </row>
    <row r="252" spans="1:1" ht="13">
      <c r="A252" s="9"/>
    </row>
    <row r="253" spans="1:1" ht="13">
      <c r="A253" s="9"/>
    </row>
    <row r="254" spans="1:1" ht="13">
      <c r="A254" s="9"/>
    </row>
    <row r="255" spans="1:1" ht="13">
      <c r="A255" s="9"/>
    </row>
    <row r="256" spans="1:1" ht="13">
      <c r="A256" s="9"/>
    </row>
    <row r="257" spans="1:1" ht="13">
      <c r="A257" s="9"/>
    </row>
    <row r="258" spans="1:1" ht="13">
      <c r="A258" s="9"/>
    </row>
    <row r="259" spans="1:1" ht="13">
      <c r="A259" s="9"/>
    </row>
    <row r="260" spans="1:1" ht="13">
      <c r="A260" s="9"/>
    </row>
    <row r="261" spans="1:1" ht="13">
      <c r="A261" s="9"/>
    </row>
    <row r="262" spans="1:1" ht="13">
      <c r="A262" s="9"/>
    </row>
    <row r="263" spans="1:1" ht="13">
      <c r="A263" s="9"/>
    </row>
    <row r="264" spans="1:1" ht="13">
      <c r="A264" s="9"/>
    </row>
    <row r="265" spans="1:1" ht="13">
      <c r="A265" s="9"/>
    </row>
    <row r="266" spans="1:1" ht="13">
      <c r="A266" s="9"/>
    </row>
    <row r="267" spans="1:1" ht="13">
      <c r="A267" s="9"/>
    </row>
    <row r="268" spans="1:1" ht="13">
      <c r="A268" s="9"/>
    </row>
    <row r="269" spans="1:1" ht="13">
      <c r="A269" s="9"/>
    </row>
    <row r="270" spans="1:1" ht="13">
      <c r="A270" s="9"/>
    </row>
    <row r="271" spans="1:1" ht="13">
      <c r="A271" s="9"/>
    </row>
    <row r="272" spans="1:1" ht="13">
      <c r="A272" s="9"/>
    </row>
    <row r="273" spans="1:1" ht="13">
      <c r="A273" s="9"/>
    </row>
    <row r="274" spans="1:1" ht="13">
      <c r="A274" s="9"/>
    </row>
    <row r="275" spans="1:1" ht="13">
      <c r="A275" s="9"/>
    </row>
    <row r="276" spans="1:1" ht="13">
      <c r="A276" s="9"/>
    </row>
    <row r="277" spans="1:1" ht="13">
      <c r="A277" s="9"/>
    </row>
    <row r="278" spans="1:1" ht="13">
      <c r="A278" s="9"/>
    </row>
    <row r="279" spans="1:1" ht="13">
      <c r="A279" s="9"/>
    </row>
    <row r="280" spans="1:1" ht="13">
      <c r="A280" s="9"/>
    </row>
    <row r="281" spans="1:1" ht="13">
      <c r="A281" s="9"/>
    </row>
    <row r="282" spans="1:1" ht="13">
      <c r="A282" s="9"/>
    </row>
    <row r="283" spans="1:1" ht="13">
      <c r="A283" s="9"/>
    </row>
    <row r="284" spans="1:1" ht="13">
      <c r="A284" s="9"/>
    </row>
    <row r="285" spans="1:1" ht="13">
      <c r="A285" s="9"/>
    </row>
    <row r="286" spans="1:1" ht="13">
      <c r="A286" s="9"/>
    </row>
    <row r="287" spans="1:1" ht="13">
      <c r="A287" s="9"/>
    </row>
    <row r="288" spans="1:1" ht="13">
      <c r="A288" s="9"/>
    </row>
    <row r="289" spans="1:1" ht="13">
      <c r="A289" s="9"/>
    </row>
    <row r="290" spans="1:1" ht="13">
      <c r="A290" s="9"/>
    </row>
    <row r="291" spans="1:1" ht="13">
      <c r="A291" s="9"/>
    </row>
    <row r="292" spans="1:1" ht="13">
      <c r="A292" s="9"/>
    </row>
    <row r="293" spans="1:1" ht="13">
      <c r="A293" s="9"/>
    </row>
    <row r="294" spans="1:1" ht="13">
      <c r="A294" s="9"/>
    </row>
    <row r="295" spans="1:1" ht="13">
      <c r="A295" s="9"/>
    </row>
    <row r="296" spans="1:1" ht="13">
      <c r="A296" s="9"/>
    </row>
    <row r="297" spans="1:1" ht="13">
      <c r="A297" s="9"/>
    </row>
    <row r="298" spans="1:1" ht="13">
      <c r="A298" s="9"/>
    </row>
    <row r="299" spans="1:1" ht="13">
      <c r="A299" s="9"/>
    </row>
    <row r="300" spans="1:1" ht="13">
      <c r="A300" s="9"/>
    </row>
    <row r="301" spans="1:1" ht="13">
      <c r="A301" s="9"/>
    </row>
    <row r="302" spans="1:1" ht="13">
      <c r="A302" s="9"/>
    </row>
    <row r="303" spans="1:1" ht="13">
      <c r="A303" s="9"/>
    </row>
    <row r="304" spans="1:1" ht="13">
      <c r="A304" s="9"/>
    </row>
    <row r="305" spans="1:1" ht="13">
      <c r="A305" s="9"/>
    </row>
    <row r="306" spans="1:1" ht="13">
      <c r="A306" s="9"/>
    </row>
    <row r="307" spans="1:1" ht="13">
      <c r="A307" s="9"/>
    </row>
    <row r="308" spans="1:1" ht="13">
      <c r="A308" s="9"/>
    </row>
    <row r="309" spans="1:1" ht="13">
      <c r="A309" s="9"/>
    </row>
    <row r="310" spans="1:1" ht="13">
      <c r="A310" s="9"/>
    </row>
    <row r="311" spans="1:1" ht="13">
      <c r="A311" s="9"/>
    </row>
    <row r="312" spans="1:1" ht="13">
      <c r="A312" s="9"/>
    </row>
    <row r="313" spans="1:1" ht="13">
      <c r="A313" s="9"/>
    </row>
    <row r="314" spans="1:1" ht="13">
      <c r="A314" s="9"/>
    </row>
    <row r="315" spans="1:1" ht="13">
      <c r="A315" s="9"/>
    </row>
    <row r="316" spans="1:1" ht="13">
      <c r="A316" s="9"/>
    </row>
    <row r="317" spans="1:1" ht="13">
      <c r="A317" s="9"/>
    </row>
    <row r="318" spans="1:1" ht="13">
      <c r="A318" s="9"/>
    </row>
    <row r="319" spans="1:1" ht="13">
      <c r="A319" s="9"/>
    </row>
    <row r="320" spans="1:1" ht="13">
      <c r="A320" s="9"/>
    </row>
    <row r="321" spans="1:1" ht="13">
      <c r="A321" s="9"/>
    </row>
    <row r="322" spans="1:1" ht="13">
      <c r="A322" s="9"/>
    </row>
    <row r="323" spans="1:1" ht="13">
      <c r="A323" s="9"/>
    </row>
    <row r="324" spans="1:1" ht="13">
      <c r="A324" s="9"/>
    </row>
    <row r="325" spans="1:1" ht="13">
      <c r="A325" s="9"/>
    </row>
    <row r="326" spans="1:1" ht="13">
      <c r="A326" s="9"/>
    </row>
    <row r="327" spans="1:1" ht="13">
      <c r="A327" s="9"/>
    </row>
    <row r="328" spans="1:1" ht="13">
      <c r="A328" s="9"/>
    </row>
    <row r="329" spans="1:1" ht="13">
      <c r="A329" s="9"/>
    </row>
    <row r="330" spans="1:1" ht="13">
      <c r="A330" s="9"/>
    </row>
    <row r="331" spans="1:1" ht="13">
      <c r="A331" s="9"/>
    </row>
    <row r="332" spans="1:1" ht="13">
      <c r="A332" s="9"/>
    </row>
    <row r="333" spans="1:1" ht="13">
      <c r="A333" s="9"/>
    </row>
    <row r="334" spans="1:1" ht="13">
      <c r="A334" s="9"/>
    </row>
    <row r="335" spans="1:1" ht="13">
      <c r="A335" s="9"/>
    </row>
    <row r="336" spans="1:1" ht="13">
      <c r="A336" s="9"/>
    </row>
    <row r="337" spans="1:1" ht="13">
      <c r="A337" s="9"/>
    </row>
    <row r="338" spans="1:1" ht="13">
      <c r="A338" s="9"/>
    </row>
    <row r="339" spans="1:1" ht="13">
      <c r="A339" s="9"/>
    </row>
    <row r="340" spans="1:1" ht="13">
      <c r="A340" s="9"/>
    </row>
    <row r="341" spans="1:1" ht="13">
      <c r="A341" s="9"/>
    </row>
    <row r="342" spans="1:1" ht="13">
      <c r="A342" s="9"/>
    </row>
    <row r="343" spans="1:1" ht="13">
      <c r="A343" s="9"/>
    </row>
    <row r="344" spans="1:1" ht="13">
      <c r="A344" s="9"/>
    </row>
    <row r="345" spans="1:1" ht="13">
      <c r="A345" s="9"/>
    </row>
    <row r="346" spans="1:1" ht="13">
      <c r="A346" s="9"/>
    </row>
    <row r="347" spans="1:1" ht="13">
      <c r="A347" s="9"/>
    </row>
    <row r="348" spans="1:1" ht="13">
      <c r="A348" s="9"/>
    </row>
    <row r="349" spans="1:1" ht="13">
      <c r="A349" s="9"/>
    </row>
    <row r="350" spans="1:1" ht="13">
      <c r="A350" s="9"/>
    </row>
    <row r="351" spans="1:1" ht="13">
      <c r="A351" s="9"/>
    </row>
    <row r="352" spans="1:1" ht="13">
      <c r="A352" s="9"/>
    </row>
    <row r="353" spans="1:1" ht="13">
      <c r="A353" s="9"/>
    </row>
    <row r="354" spans="1:1" ht="13">
      <c r="A354" s="9"/>
    </row>
    <row r="355" spans="1:1" ht="13">
      <c r="A355" s="9"/>
    </row>
    <row r="356" spans="1:1" ht="13">
      <c r="A356" s="9"/>
    </row>
    <row r="357" spans="1:1" ht="13">
      <c r="A357" s="9"/>
    </row>
    <row r="358" spans="1:1" ht="13">
      <c r="A358" s="9"/>
    </row>
    <row r="359" spans="1:1" ht="13">
      <c r="A359" s="9"/>
    </row>
    <row r="360" spans="1:1" ht="13">
      <c r="A360" s="9"/>
    </row>
    <row r="361" spans="1:1" ht="13">
      <c r="A361" s="9"/>
    </row>
    <row r="362" spans="1:1" ht="13">
      <c r="A362" s="9"/>
    </row>
    <row r="363" spans="1:1" ht="13">
      <c r="A363" s="9"/>
    </row>
    <row r="364" spans="1:1" ht="13">
      <c r="A364" s="9"/>
    </row>
    <row r="365" spans="1:1" ht="13">
      <c r="A365" s="9"/>
    </row>
    <row r="366" spans="1:1" ht="13">
      <c r="A366" s="9"/>
    </row>
    <row r="367" spans="1:1" ht="13">
      <c r="A367" s="9"/>
    </row>
    <row r="368" spans="1:1" ht="13">
      <c r="A368" s="9"/>
    </row>
    <row r="369" spans="1:1" ht="13">
      <c r="A369" s="9"/>
    </row>
    <row r="370" spans="1:1" ht="13">
      <c r="A370" s="9"/>
    </row>
    <row r="371" spans="1:1" ht="13">
      <c r="A371" s="9"/>
    </row>
    <row r="372" spans="1:1" ht="13">
      <c r="A372" s="9"/>
    </row>
    <row r="373" spans="1:1" ht="13">
      <c r="A373" s="9"/>
    </row>
    <row r="374" spans="1:1" ht="13">
      <c r="A374" s="9"/>
    </row>
    <row r="375" spans="1:1" ht="13">
      <c r="A375" s="9"/>
    </row>
    <row r="376" spans="1:1" ht="13">
      <c r="A376" s="9"/>
    </row>
    <row r="377" spans="1:1" ht="13">
      <c r="A377" s="9"/>
    </row>
    <row r="378" spans="1:1" ht="13">
      <c r="A378" s="9"/>
    </row>
    <row r="379" spans="1:1" ht="13">
      <c r="A379" s="9"/>
    </row>
    <row r="380" spans="1:1" ht="13">
      <c r="A380" s="9"/>
    </row>
    <row r="381" spans="1:1" ht="13">
      <c r="A381" s="9"/>
    </row>
    <row r="382" spans="1:1" ht="13">
      <c r="A382" s="9"/>
    </row>
    <row r="383" spans="1:1" ht="13">
      <c r="A383" s="9"/>
    </row>
    <row r="384" spans="1:1" ht="13">
      <c r="A384" s="9"/>
    </row>
    <row r="385" spans="1:1" ht="13">
      <c r="A385" s="9"/>
    </row>
    <row r="386" spans="1:1" ht="13">
      <c r="A386" s="9"/>
    </row>
    <row r="387" spans="1:1" ht="13">
      <c r="A387" s="9"/>
    </row>
    <row r="388" spans="1:1" ht="13">
      <c r="A388" s="9"/>
    </row>
    <row r="389" spans="1:1" ht="13">
      <c r="A389" s="9"/>
    </row>
    <row r="390" spans="1:1" ht="13">
      <c r="A390" s="9"/>
    </row>
    <row r="391" spans="1:1" ht="13">
      <c r="A391" s="9"/>
    </row>
    <row r="392" spans="1:1" ht="13">
      <c r="A392" s="9"/>
    </row>
    <row r="393" spans="1:1" ht="13">
      <c r="A393" s="9"/>
    </row>
    <row r="394" spans="1:1" ht="13">
      <c r="A394" s="9"/>
    </row>
    <row r="395" spans="1:1" ht="13">
      <c r="A395" s="9"/>
    </row>
    <row r="396" spans="1:1" ht="13">
      <c r="A396" s="9"/>
    </row>
    <row r="397" spans="1:1" ht="13">
      <c r="A397" s="9"/>
    </row>
    <row r="398" spans="1:1" ht="13">
      <c r="A398" s="9"/>
    </row>
    <row r="399" spans="1:1" ht="13">
      <c r="A399" s="9"/>
    </row>
    <row r="400" spans="1:1" ht="13">
      <c r="A400" s="9"/>
    </row>
    <row r="401" spans="1:1" ht="13">
      <c r="A401" s="9"/>
    </row>
    <row r="402" spans="1:1" ht="13">
      <c r="A402" s="9"/>
    </row>
    <row r="403" spans="1:1" ht="13">
      <c r="A403" s="9"/>
    </row>
    <row r="404" spans="1:1" ht="13">
      <c r="A404" s="9"/>
    </row>
    <row r="405" spans="1:1" ht="13">
      <c r="A405" s="9"/>
    </row>
    <row r="406" spans="1:1" ht="13">
      <c r="A406" s="9"/>
    </row>
    <row r="407" spans="1:1" ht="13">
      <c r="A407" s="9"/>
    </row>
    <row r="408" spans="1:1" ht="13">
      <c r="A408" s="9"/>
    </row>
    <row r="409" spans="1:1" ht="13">
      <c r="A409" s="9"/>
    </row>
    <row r="410" spans="1:1" ht="13">
      <c r="A410" s="9"/>
    </row>
    <row r="411" spans="1:1" ht="13">
      <c r="A411" s="9"/>
    </row>
    <row r="412" spans="1:1" ht="13">
      <c r="A412" s="9"/>
    </row>
    <row r="413" spans="1:1" ht="13">
      <c r="A413" s="9"/>
    </row>
    <row r="414" spans="1:1" ht="13">
      <c r="A414" s="9"/>
    </row>
    <row r="415" spans="1:1" ht="13">
      <c r="A415" s="9"/>
    </row>
    <row r="416" spans="1:1" ht="13">
      <c r="A416" s="9"/>
    </row>
    <row r="417" spans="1:1" ht="13">
      <c r="A417" s="9"/>
    </row>
    <row r="418" spans="1:1" ht="13">
      <c r="A418" s="9"/>
    </row>
    <row r="419" spans="1:1" ht="13">
      <c r="A419" s="9"/>
    </row>
    <row r="420" spans="1:1" ht="13">
      <c r="A420" s="9"/>
    </row>
    <row r="421" spans="1:1" ht="13">
      <c r="A421" s="9"/>
    </row>
    <row r="422" spans="1:1" ht="13">
      <c r="A422" s="9"/>
    </row>
    <row r="423" spans="1:1" ht="13">
      <c r="A423" s="9"/>
    </row>
    <row r="424" spans="1:1" ht="13">
      <c r="A424" s="9"/>
    </row>
    <row r="425" spans="1:1" ht="13">
      <c r="A425" s="9"/>
    </row>
    <row r="426" spans="1:1" ht="13">
      <c r="A426" s="9"/>
    </row>
    <row r="427" spans="1:1" ht="13">
      <c r="A427" s="9"/>
    </row>
    <row r="428" spans="1:1" ht="13">
      <c r="A428" s="9"/>
    </row>
    <row r="429" spans="1:1" ht="13">
      <c r="A429" s="9"/>
    </row>
    <row r="430" spans="1:1" ht="13">
      <c r="A430" s="9"/>
    </row>
    <row r="431" spans="1:1" ht="13">
      <c r="A431" s="9"/>
    </row>
    <row r="432" spans="1:1" ht="13">
      <c r="A432" s="9"/>
    </row>
    <row r="433" spans="1:1" ht="13">
      <c r="A433" s="9"/>
    </row>
    <row r="434" spans="1:1" ht="13">
      <c r="A434" s="9"/>
    </row>
    <row r="435" spans="1:1" ht="13">
      <c r="A435" s="9"/>
    </row>
    <row r="436" spans="1:1" ht="13">
      <c r="A436" s="9"/>
    </row>
    <row r="437" spans="1:1" ht="13">
      <c r="A437" s="9"/>
    </row>
    <row r="438" spans="1:1" ht="13">
      <c r="A438" s="9"/>
    </row>
    <row r="439" spans="1:1" ht="13">
      <c r="A439" s="9"/>
    </row>
    <row r="440" spans="1:1" ht="13">
      <c r="A440" s="9"/>
    </row>
    <row r="441" spans="1:1" ht="13">
      <c r="A441" s="9"/>
    </row>
    <row r="442" spans="1:1" ht="13">
      <c r="A442" s="9"/>
    </row>
    <row r="443" spans="1:1" ht="13">
      <c r="A443" s="9"/>
    </row>
    <row r="444" spans="1:1" ht="13">
      <c r="A444" s="9"/>
    </row>
    <row r="445" spans="1:1" ht="13">
      <c r="A445" s="9"/>
    </row>
    <row r="446" spans="1:1" ht="13">
      <c r="A446" s="9"/>
    </row>
    <row r="447" spans="1:1" ht="13">
      <c r="A447" s="9"/>
    </row>
    <row r="448" spans="1:1" ht="13">
      <c r="A448" s="9"/>
    </row>
    <row r="449" spans="1:1" ht="13">
      <c r="A449" s="9"/>
    </row>
    <row r="450" spans="1:1" ht="13">
      <c r="A450" s="9"/>
    </row>
    <row r="451" spans="1:1" ht="13">
      <c r="A451" s="9"/>
    </row>
    <row r="452" spans="1:1" ht="13">
      <c r="A452" s="9"/>
    </row>
    <row r="453" spans="1:1" ht="13">
      <c r="A453" s="9"/>
    </row>
    <row r="454" spans="1:1" ht="13">
      <c r="A454" s="9"/>
    </row>
    <row r="455" spans="1:1" ht="13">
      <c r="A455" s="9"/>
    </row>
    <row r="456" spans="1:1" ht="13">
      <c r="A456" s="9"/>
    </row>
    <row r="457" spans="1:1" ht="13">
      <c r="A457" s="9"/>
    </row>
    <row r="458" spans="1:1" ht="13">
      <c r="A458" s="9"/>
    </row>
    <row r="459" spans="1:1" ht="13">
      <c r="A459" s="9"/>
    </row>
    <row r="460" spans="1:1" ht="13">
      <c r="A460" s="9"/>
    </row>
    <row r="461" spans="1:1" ht="13">
      <c r="A461" s="9"/>
    </row>
    <row r="462" spans="1:1" ht="13">
      <c r="A462" s="9"/>
    </row>
    <row r="463" spans="1:1" ht="13">
      <c r="A463" s="9"/>
    </row>
    <row r="464" spans="1:1" ht="13">
      <c r="A464" s="9"/>
    </row>
    <row r="465" spans="1:1" ht="13">
      <c r="A465" s="9"/>
    </row>
    <row r="466" spans="1:1" ht="13">
      <c r="A466" s="9"/>
    </row>
    <row r="467" spans="1:1" ht="13">
      <c r="A467" s="9"/>
    </row>
    <row r="468" spans="1:1" ht="13">
      <c r="A468" s="9"/>
    </row>
    <row r="469" spans="1:1" ht="13">
      <c r="A469" s="9"/>
    </row>
    <row r="470" spans="1:1" ht="13">
      <c r="A470" s="9"/>
    </row>
    <row r="471" spans="1:1" ht="13">
      <c r="A471" s="9"/>
    </row>
    <row r="472" spans="1:1" ht="13">
      <c r="A472" s="9"/>
    </row>
    <row r="473" spans="1:1" ht="13">
      <c r="A473" s="9"/>
    </row>
    <row r="474" spans="1:1" ht="13">
      <c r="A474" s="9"/>
    </row>
    <row r="475" spans="1:1" ht="13">
      <c r="A475" s="9"/>
    </row>
    <row r="476" spans="1:1" ht="13">
      <c r="A476" s="9"/>
    </row>
    <row r="477" spans="1:1" ht="13">
      <c r="A477" s="9"/>
    </row>
    <row r="478" spans="1:1" ht="13">
      <c r="A478" s="9"/>
    </row>
    <row r="479" spans="1:1" ht="13">
      <c r="A479" s="9"/>
    </row>
    <row r="480" spans="1:1" ht="13">
      <c r="A480" s="9"/>
    </row>
    <row r="481" spans="1:1" ht="13">
      <c r="A481" s="9"/>
    </row>
    <row r="482" spans="1:1" ht="13">
      <c r="A482" s="9"/>
    </row>
    <row r="483" spans="1:1" ht="13">
      <c r="A483" s="9"/>
    </row>
    <row r="484" spans="1:1" ht="13">
      <c r="A484" s="9"/>
    </row>
    <row r="485" spans="1:1" ht="13">
      <c r="A485" s="9"/>
    </row>
    <row r="486" spans="1:1" ht="13">
      <c r="A486" s="9"/>
    </row>
    <row r="487" spans="1:1" ht="13">
      <c r="A487" s="9"/>
    </row>
    <row r="488" spans="1:1" ht="13">
      <c r="A488" s="9"/>
    </row>
    <row r="489" spans="1:1" ht="13">
      <c r="A489" s="9"/>
    </row>
    <row r="490" spans="1:1" ht="13">
      <c r="A490" s="9"/>
    </row>
    <row r="491" spans="1:1" ht="13">
      <c r="A491" s="9"/>
    </row>
    <row r="492" spans="1:1" ht="13">
      <c r="A492" s="9"/>
    </row>
    <row r="493" spans="1:1" ht="13">
      <c r="A493" s="9"/>
    </row>
    <row r="494" spans="1:1" ht="13">
      <c r="A494" s="9"/>
    </row>
    <row r="495" spans="1:1" ht="13">
      <c r="A495" s="9"/>
    </row>
    <row r="496" spans="1:1" ht="13">
      <c r="A496" s="9"/>
    </row>
    <row r="497" spans="1:1" ht="13">
      <c r="A497" s="9"/>
    </row>
    <row r="498" spans="1:1" ht="13">
      <c r="A498" s="9"/>
    </row>
    <row r="499" spans="1:1" ht="13">
      <c r="A499" s="9"/>
    </row>
    <row r="500" spans="1:1" ht="13">
      <c r="A500" s="9"/>
    </row>
    <row r="501" spans="1:1" ht="13">
      <c r="A501" s="9"/>
    </row>
    <row r="502" spans="1:1" ht="13">
      <c r="A502" s="9"/>
    </row>
    <row r="503" spans="1:1" ht="13">
      <c r="A503" s="9"/>
    </row>
    <row r="504" spans="1:1" ht="13">
      <c r="A504" s="9"/>
    </row>
    <row r="505" spans="1:1" ht="13">
      <c r="A505" s="9"/>
    </row>
    <row r="506" spans="1:1" ht="13">
      <c r="A506" s="9"/>
    </row>
    <row r="507" spans="1:1" ht="13">
      <c r="A507" s="9"/>
    </row>
    <row r="508" spans="1:1" ht="13">
      <c r="A508" s="9"/>
    </row>
    <row r="509" spans="1:1" ht="13">
      <c r="A509" s="9"/>
    </row>
    <row r="510" spans="1:1" ht="13">
      <c r="A510" s="9"/>
    </row>
    <row r="511" spans="1:1" ht="13">
      <c r="A511" s="9"/>
    </row>
    <row r="512" spans="1:1" ht="13">
      <c r="A512" s="9"/>
    </row>
    <row r="513" spans="1:1" ht="13">
      <c r="A513" s="9"/>
    </row>
    <row r="514" spans="1:1" ht="13">
      <c r="A514" s="9"/>
    </row>
    <row r="515" spans="1:1" ht="13">
      <c r="A515" s="9"/>
    </row>
    <row r="516" spans="1:1" ht="13">
      <c r="A516" s="9"/>
    </row>
    <row r="517" spans="1:1" ht="13">
      <c r="A517" s="9"/>
    </row>
    <row r="518" spans="1:1" ht="13">
      <c r="A518" s="9"/>
    </row>
    <row r="519" spans="1:1" ht="13">
      <c r="A519" s="9"/>
    </row>
    <row r="520" spans="1:1" ht="13">
      <c r="A520" s="9"/>
    </row>
    <row r="521" spans="1:1" ht="13">
      <c r="A521" s="9"/>
    </row>
    <row r="522" spans="1:1" ht="13">
      <c r="A522" s="9"/>
    </row>
    <row r="523" spans="1:1" ht="13">
      <c r="A523" s="9"/>
    </row>
    <row r="524" spans="1:1" ht="13">
      <c r="A524" s="9"/>
    </row>
    <row r="525" spans="1:1" ht="13">
      <c r="A525" s="9"/>
    </row>
    <row r="526" spans="1:1" ht="13">
      <c r="A526" s="9"/>
    </row>
    <row r="527" spans="1:1" ht="13">
      <c r="A527" s="9"/>
    </row>
    <row r="528" spans="1:1" ht="13">
      <c r="A528" s="9"/>
    </row>
    <row r="529" spans="1:1" ht="13">
      <c r="A529" s="9"/>
    </row>
    <row r="530" spans="1:1" ht="13">
      <c r="A530" s="9"/>
    </row>
    <row r="531" spans="1:1" ht="13">
      <c r="A531" s="9"/>
    </row>
    <row r="532" spans="1:1" ht="13">
      <c r="A532" s="9"/>
    </row>
    <row r="533" spans="1:1" ht="13">
      <c r="A533" s="9"/>
    </row>
    <row r="534" spans="1:1" ht="13">
      <c r="A534" s="9"/>
    </row>
    <row r="535" spans="1:1" ht="13">
      <c r="A535" s="9"/>
    </row>
    <row r="536" spans="1:1" ht="13">
      <c r="A536" s="9"/>
    </row>
    <row r="537" spans="1:1" ht="13">
      <c r="A537" s="9"/>
    </row>
    <row r="538" spans="1:1" ht="13">
      <c r="A538" s="9"/>
    </row>
    <row r="539" spans="1:1" ht="13">
      <c r="A539" s="9"/>
    </row>
    <row r="540" spans="1:1" ht="13">
      <c r="A540" s="9"/>
    </row>
    <row r="541" spans="1:1" ht="13">
      <c r="A541" s="9"/>
    </row>
    <row r="542" spans="1:1" ht="13">
      <c r="A542" s="9"/>
    </row>
    <row r="543" spans="1:1" ht="13">
      <c r="A543" s="9"/>
    </row>
    <row r="544" spans="1:1" ht="13">
      <c r="A544" s="9"/>
    </row>
    <row r="545" spans="1:1" ht="13">
      <c r="A545" s="9"/>
    </row>
    <row r="546" spans="1:1" ht="13">
      <c r="A546" s="9"/>
    </row>
    <row r="547" spans="1:1" ht="13">
      <c r="A547" s="9"/>
    </row>
    <row r="548" spans="1:1" ht="13">
      <c r="A548" s="9"/>
    </row>
    <row r="549" spans="1:1" ht="13">
      <c r="A549" s="9"/>
    </row>
    <row r="550" spans="1:1" ht="13">
      <c r="A550" s="9"/>
    </row>
    <row r="551" spans="1:1" ht="13">
      <c r="A551" s="9"/>
    </row>
    <row r="552" spans="1:1" ht="13">
      <c r="A552" s="9"/>
    </row>
    <row r="553" spans="1:1" ht="13">
      <c r="A553" s="9"/>
    </row>
    <row r="554" spans="1:1" ht="13">
      <c r="A554" s="9"/>
    </row>
    <row r="555" spans="1:1" ht="13">
      <c r="A555" s="9"/>
    </row>
    <row r="556" spans="1:1" ht="13">
      <c r="A556" s="9"/>
    </row>
    <row r="557" spans="1:1" ht="13">
      <c r="A557" s="9"/>
    </row>
    <row r="558" spans="1:1" ht="13">
      <c r="A558" s="9"/>
    </row>
    <row r="559" spans="1:1" ht="13">
      <c r="A559" s="9"/>
    </row>
    <row r="560" spans="1:1" ht="13">
      <c r="A560" s="9"/>
    </row>
    <row r="561" spans="1:1" ht="13">
      <c r="A561" s="9"/>
    </row>
    <row r="562" spans="1:1" ht="13">
      <c r="A562" s="9"/>
    </row>
    <row r="563" spans="1:1" ht="13">
      <c r="A563" s="9"/>
    </row>
    <row r="564" spans="1:1" ht="13">
      <c r="A564" s="9"/>
    </row>
    <row r="565" spans="1:1" ht="13">
      <c r="A565" s="9"/>
    </row>
    <row r="566" spans="1:1" ht="13">
      <c r="A566" s="9"/>
    </row>
    <row r="567" spans="1:1" ht="13">
      <c r="A567" s="9"/>
    </row>
    <row r="568" spans="1:1" ht="13">
      <c r="A568" s="9"/>
    </row>
    <row r="569" spans="1:1" ht="13">
      <c r="A569" s="9"/>
    </row>
    <row r="570" spans="1:1" ht="13">
      <c r="A570" s="9"/>
    </row>
    <row r="571" spans="1:1" ht="13">
      <c r="A571" s="9"/>
    </row>
    <row r="572" spans="1:1" ht="13">
      <c r="A572" s="9"/>
    </row>
    <row r="573" spans="1:1" ht="13">
      <c r="A573" s="9"/>
    </row>
    <row r="574" spans="1:1" ht="13">
      <c r="A574" s="9"/>
    </row>
    <row r="575" spans="1:1" ht="13">
      <c r="A575" s="9"/>
    </row>
    <row r="576" spans="1:1" ht="13">
      <c r="A576" s="9"/>
    </row>
    <row r="577" spans="1:1" ht="13">
      <c r="A577" s="9"/>
    </row>
    <row r="578" spans="1:1" ht="13">
      <c r="A578" s="9"/>
    </row>
    <row r="579" spans="1:1" ht="13">
      <c r="A579" s="9"/>
    </row>
    <row r="580" spans="1:1" ht="13">
      <c r="A580" s="9"/>
    </row>
    <row r="581" spans="1:1" ht="13">
      <c r="A581" s="9"/>
    </row>
    <row r="582" spans="1:1" ht="13">
      <c r="A582" s="9"/>
    </row>
    <row r="583" spans="1:1" ht="13">
      <c r="A583" s="9"/>
    </row>
    <row r="584" spans="1:1" ht="13">
      <c r="A584" s="9"/>
    </row>
    <row r="585" spans="1:1" ht="13">
      <c r="A585" s="9"/>
    </row>
    <row r="586" spans="1:1" ht="13">
      <c r="A586" s="9"/>
    </row>
    <row r="587" spans="1:1" ht="13">
      <c r="A587" s="9"/>
    </row>
    <row r="588" spans="1:1" ht="13">
      <c r="A588" s="9"/>
    </row>
    <row r="589" spans="1:1" ht="13">
      <c r="A589" s="9"/>
    </row>
    <row r="590" spans="1:1" ht="13">
      <c r="A590" s="9"/>
    </row>
    <row r="591" spans="1:1" ht="13">
      <c r="A591" s="9"/>
    </row>
    <row r="592" spans="1:1" ht="13">
      <c r="A592" s="9"/>
    </row>
    <row r="593" spans="1:1" ht="13">
      <c r="A593" s="9"/>
    </row>
    <row r="594" spans="1:1" ht="13">
      <c r="A594" s="9"/>
    </row>
    <row r="595" spans="1:1" ht="13">
      <c r="A595" s="9"/>
    </row>
    <row r="596" spans="1:1" ht="13">
      <c r="A596" s="9"/>
    </row>
    <row r="597" spans="1:1" ht="13">
      <c r="A597" s="9"/>
    </row>
    <row r="598" spans="1:1" ht="13">
      <c r="A598" s="9"/>
    </row>
    <row r="599" spans="1:1" ht="13">
      <c r="A599" s="9"/>
    </row>
    <row r="600" spans="1:1" ht="13">
      <c r="A600" s="9"/>
    </row>
    <row r="601" spans="1:1" ht="13">
      <c r="A601" s="9"/>
    </row>
    <row r="602" spans="1:1" ht="13">
      <c r="A602" s="9"/>
    </row>
    <row r="603" spans="1:1" ht="13">
      <c r="A603" s="9"/>
    </row>
    <row r="604" spans="1:1" ht="13">
      <c r="A604" s="9"/>
    </row>
    <row r="605" spans="1:1" ht="13">
      <c r="A605" s="9"/>
    </row>
    <row r="606" spans="1:1" ht="13">
      <c r="A606" s="9"/>
    </row>
    <row r="607" spans="1:1" ht="13">
      <c r="A607" s="9"/>
    </row>
    <row r="608" spans="1:1" ht="13">
      <c r="A608" s="9"/>
    </row>
    <row r="609" spans="1:1" ht="13">
      <c r="A609" s="9"/>
    </row>
    <row r="610" spans="1:1" ht="13">
      <c r="A610" s="9"/>
    </row>
    <row r="611" spans="1:1" ht="13">
      <c r="A611" s="9"/>
    </row>
    <row r="612" spans="1:1" ht="13">
      <c r="A612" s="9"/>
    </row>
    <row r="613" spans="1:1" ht="13">
      <c r="A613" s="9"/>
    </row>
    <row r="614" spans="1:1" ht="13">
      <c r="A614" s="9"/>
    </row>
    <row r="615" spans="1:1" ht="13">
      <c r="A615" s="9"/>
    </row>
    <row r="616" spans="1:1" ht="13">
      <c r="A616" s="9"/>
    </row>
    <row r="617" spans="1:1" ht="13">
      <c r="A617" s="9"/>
    </row>
    <row r="618" spans="1:1" ht="13">
      <c r="A618" s="9"/>
    </row>
    <row r="619" spans="1:1" ht="13">
      <c r="A619" s="9"/>
    </row>
    <row r="620" spans="1:1" ht="13">
      <c r="A620" s="9"/>
    </row>
    <row r="621" spans="1:1" ht="13">
      <c r="A621" s="9"/>
    </row>
    <row r="622" spans="1:1" ht="13">
      <c r="A622" s="9"/>
    </row>
    <row r="623" spans="1:1" ht="13">
      <c r="A623" s="9"/>
    </row>
    <row r="624" spans="1:1" ht="13">
      <c r="A624" s="9"/>
    </row>
    <row r="625" spans="1:1" ht="13">
      <c r="A625" s="9"/>
    </row>
    <row r="626" spans="1:1" ht="13">
      <c r="A626" s="9"/>
    </row>
    <row r="627" spans="1:1" ht="13">
      <c r="A627" s="9"/>
    </row>
    <row r="628" spans="1:1" ht="13">
      <c r="A628" s="9"/>
    </row>
    <row r="629" spans="1:1" ht="13">
      <c r="A629" s="9"/>
    </row>
    <row r="630" spans="1:1" ht="13">
      <c r="A630" s="9"/>
    </row>
    <row r="631" spans="1:1" ht="13">
      <c r="A631" s="9"/>
    </row>
    <row r="632" spans="1:1" ht="13">
      <c r="A632" s="9"/>
    </row>
    <row r="633" spans="1:1" ht="13">
      <c r="A633" s="9"/>
    </row>
    <row r="634" spans="1:1" ht="13">
      <c r="A634" s="9"/>
    </row>
    <row r="635" spans="1:1" ht="13">
      <c r="A635" s="9"/>
    </row>
    <row r="636" spans="1:1" ht="13">
      <c r="A636" s="9"/>
    </row>
    <row r="637" spans="1:1" ht="13">
      <c r="A637" s="9"/>
    </row>
    <row r="638" spans="1:1" ht="13">
      <c r="A638" s="9"/>
    </row>
    <row r="639" spans="1:1" ht="13">
      <c r="A639" s="9"/>
    </row>
    <row r="640" spans="1:1" ht="13">
      <c r="A640" s="9"/>
    </row>
    <row r="641" spans="1:1" ht="13">
      <c r="A641" s="9"/>
    </row>
    <row r="642" spans="1:1" ht="13">
      <c r="A642" s="9"/>
    </row>
    <row r="643" spans="1:1" ht="13">
      <c r="A643" s="9"/>
    </row>
    <row r="644" spans="1:1" ht="13">
      <c r="A644" s="9"/>
    </row>
    <row r="645" spans="1:1" ht="13">
      <c r="A645" s="9"/>
    </row>
    <row r="646" spans="1:1" ht="13">
      <c r="A646" s="9"/>
    </row>
    <row r="647" spans="1:1" ht="13">
      <c r="A647" s="9"/>
    </row>
    <row r="648" spans="1:1" ht="13">
      <c r="A648" s="9"/>
    </row>
    <row r="649" spans="1:1" ht="13">
      <c r="A649" s="9"/>
    </row>
    <row r="650" spans="1:1" ht="13">
      <c r="A650" s="9"/>
    </row>
    <row r="651" spans="1:1" ht="13">
      <c r="A651" s="9"/>
    </row>
    <row r="652" spans="1:1" ht="13">
      <c r="A652" s="9"/>
    </row>
    <row r="653" spans="1:1" ht="13">
      <c r="A653" s="9"/>
    </row>
    <row r="654" spans="1:1" ht="13">
      <c r="A654" s="9"/>
    </row>
    <row r="655" spans="1:1" ht="13">
      <c r="A655" s="9"/>
    </row>
    <row r="656" spans="1:1" ht="13">
      <c r="A656" s="9"/>
    </row>
    <row r="657" spans="1:1" ht="13">
      <c r="A657" s="9"/>
    </row>
    <row r="658" spans="1:1" ht="13">
      <c r="A658" s="9"/>
    </row>
    <row r="659" spans="1:1" ht="13">
      <c r="A659" s="9"/>
    </row>
    <row r="660" spans="1:1" ht="13">
      <c r="A660" s="9"/>
    </row>
    <row r="661" spans="1:1" ht="13">
      <c r="A661" s="9"/>
    </row>
    <row r="662" spans="1:1" ht="13">
      <c r="A662" s="9"/>
    </row>
    <row r="663" spans="1:1" ht="13">
      <c r="A663" s="9"/>
    </row>
    <row r="664" spans="1:1" ht="13">
      <c r="A664" s="9"/>
    </row>
    <row r="665" spans="1:1" ht="13">
      <c r="A665" s="9"/>
    </row>
    <row r="666" spans="1:1" ht="13">
      <c r="A666" s="9"/>
    </row>
    <row r="667" spans="1:1" ht="13">
      <c r="A667" s="9"/>
    </row>
    <row r="668" spans="1:1" ht="13">
      <c r="A668" s="9"/>
    </row>
    <row r="669" spans="1:1" ht="13">
      <c r="A669" s="9"/>
    </row>
    <row r="670" spans="1:1" ht="13">
      <c r="A670" s="9"/>
    </row>
    <row r="671" spans="1:1" ht="13">
      <c r="A671" s="9"/>
    </row>
    <row r="672" spans="1:1" ht="13">
      <c r="A672" s="9"/>
    </row>
    <row r="673" spans="1:1" ht="13">
      <c r="A673" s="9"/>
    </row>
    <row r="674" spans="1:1" ht="13">
      <c r="A674" s="9"/>
    </row>
    <row r="675" spans="1:1" ht="13">
      <c r="A675" s="9"/>
    </row>
    <row r="676" spans="1:1" ht="13">
      <c r="A676" s="9"/>
    </row>
    <row r="677" spans="1:1" ht="13">
      <c r="A677" s="9"/>
    </row>
    <row r="678" spans="1:1" ht="13">
      <c r="A678" s="9"/>
    </row>
    <row r="679" spans="1:1" ht="13">
      <c r="A679" s="9"/>
    </row>
    <row r="680" spans="1:1" ht="13">
      <c r="A680" s="9"/>
    </row>
    <row r="681" spans="1:1" ht="13">
      <c r="A681" s="9"/>
    </row>
    <row r="682" spans="1:1" ht="13">
      <c r="A682" s="9"/>
    </row>
    <row r="683" spans="1:1" ht="13">
      <c r="A683" s="9"/>
    </row>
    <row r="684" spans="1:1" ht="13">
      <c r="A684" s="9"/>
    </row>
    <row r="685" spans="1:1" ht="13">
      <c r="A685" s="9"/>
    </row>
    <row r="686" spans="1:1" ht="13">
      <c r="A686" s="9"/>
    </row>
    <row r="687" spans="1:1" ht="13">
      <c r="A687" s="9"/>
    </row>
    <row r="688" spans="1:1" ht="13">
      <c r="A688" s="9"/>
    </row>
    <row r="689" spans="1:1" ht="13">
      <c r="A689" s="9"/>
    </row>
    <row r="690" spans="1:1" ht="13">
      <c r="A690" s="9"/>
    </row>
    <row r="691" spans="1:1" ht="13">
      <c r="A691" s="9"/>
    </row>
    <row r="692" spans="1:1" ht="13">
      <c r="A692" s="9"/>
    </row>
    <row r="693" spans="1:1" ht="13">
      <c r="A693" s="9"/>
    </row>
    <row r="694" spans="1:1" ht="13">
      <c r="A694" s="9"/>
    </row>
    <row r="695" spans="1:1" ht="13">
      <c r="A695" s="9"/>
    </row>
    <row r="696" spans="1:1" ht="13">
      <c r="A696" s="9"/>
    </row>
    <row r="697" spans="1:1" ht="13">
      <c r="A697" s="9"/>
    </row>
    <row r="698" spans="1:1" ht="13">
      <c r="A698" s="9"/>
    </row>
    <row r="699" spans="1:1" ht="13">
      <c r="A699" s="9"/>
    </row>
    <row r="700" spans="1:1" ht="13">
      <c r="A700" s="9"/>
    </row>
    <row r="701" spans="1:1" ht="13">
      <c r="A701" s="9"/>
    </row>
    <row r="702" spans="1:1" ht="13">
      <c r="A702" s="9"/>
    </row>
    <row r="703" spans="1:1" ht="13">
      <c r="A703" s="9"/>
    </row>
    <row r="704" spans="1:1" ht="13">
      <c r="A704" s="9"/>
    </row>
    <row r="705" spans="1:1" ht="13">
      <c r="A705" s="9"/>
    </row>
    <row r="706" spans="1:1" ht="13">
      <c r="A706" s="9"/>
    </row>
    <row r="707" spans="1:1" ht="13">
      <c r="A707" s="9"/>
    </row>
    <row r="708" spans="1:1" ht="13">
      <c r="A708" s="9"/>
    </row>
    <row r="709" spans="1:1" ht="13">
      <c r="A709" s="9"/>
    </row>
    <row r="710" spans="1:1" ht="13">
      <c r="A710" s="9"/>
    </row>
    <row r="711" spans="1:1" ht="13">
      <c r="A711" s="9"/>
    </row>
    <row r="712" spans="1:1" ht="13">
      <c r="A712" s="9"/>
    </row>
    <row r="713" spans="1:1" ht="13">
      <c r="A713" s="9"/>
    </row>
    <row r="714" spans="1:1" ht="13">
      <c r="A714" s="9"/>
    </row>
    <row r="715" spans="1:1" ht="13">
      <c r="A715" s="9"/>
    </row>
    <row r="716" spans="1:1" ht="13">
      <c r="A716" s="9"/>
    </row>
    <row r="717" spans="1:1" ht="13">
      <c r="A717" s="9"/>
    </row>
    <row r="718" spans="1:1" ht="13">
      <c r="A718" s="9"/>
    </row>
    <row r="719" spans="1:1" ht="13">
      <c r="A719" s="9"/>
    </row>
    <row r="720" spans="1:1" ht="13">
      <c r="A720" s="9"/>
    </row>
    <row r="721" spans="1:1" ht="13">
      <c r="A721" s="9"/>
    </row>
    <row r="722" spans="1:1" ht="13">
      <c r="A722" s="9"/>
    </row>
    <row r="723" spans="1:1" ht="13">
      <c r="A723" s="9"/>
    </row>
    <row r="724" spans="1:1" ht="13">
      <c r="A724" s="9"/>
    </row>
    <row r="725" spans="1:1" ht="13">
      <c r="A725" s="9"/>
    </row>
    <row r="726" spans="1:1" ht="13">
      <c r="A726" s="9"/>
    </row>
    <row r="727" spans="1:1" ht="13">
      <c r="A727" s="9"/>
    </row>
    <row r="728" spans="1:1" ht="13">
      <c r="A728" s="9"/>
    </row>
    <row r="729" spans="1:1" ht="13">
      <c r="A729" s="9"/>
    </row>
    <row r="730" spans="1:1" ht="13">
      <c r="A730" s="9"/>
    </row>
    <row r="731" spans="1:1" ht="13">
      <c r="A731" s="9"/>
    </row>
    <row r="732" spans="1:1" ht="13">
      <c r="A732" s="9"/>
    </row>
    <row r="733" spans="1:1" ht="13">
      <c r="A733" s="9"/>
    </row>
    <row r="734" spans="1:1" ht="13">
      <c r="A734" s="9"/>
    </row>
    <row r="735" spans="1:1" ht="13">
      <c r="A735" s="9"/>
    </row>
    <row r="736" spans="1:1" ht="13">
      <c r="A736" s="9"/>
    </row>
    <row r="737" spans="1:1" ht="13">
      <c r="A737" s="9"/>
    </row>
    <row r="738" spans="1:1" ht="13">
      <c r="A738" s="9"/>
    </row>
    <row r="739" spans="1:1" ht="13">
      <c r="A739" s="9"/>
    </row>
    <row r="740" spans="1:1" ht="13">
      <c r="A740" s="9"/>
    </row>
    <row r="741" spans="1:1" ht="13">
      <c r="A741" s="9"/>
    </row>
    <row r="742" spans="1:1" ht="13">
      <c r="A742" s="9"/>
    </row>
    <row r="743" spans="1:1" ht="13">
      <c r="A743" s="9"/>
    </row>
    <row r="744" spans="1:1" ht="13">
      <c r="A744" s="9"/>
    </row>
    <row r="745" spans="1:1" ht="13">
      <c r="A745" s="9"/>
    </row>
    <row r="746" spans="1:1" ht="13">
      <c r="A746" s="9"/>
    </row>
    <row r="747" spans="1:1" ht="13">
      <c r="A747" s="9"/>
    </row>
    <row r="748" spans="1:1" ht="13">
      <c r="A748" s="9"/>
    </row>
    <row r="749" spans="1:1" ht="13">
      <c r="A749" s="9"/>
    </row>
    <row r="750" spans="1:1" ht="13">
      <c r="A750" s="9"/>
    </row>
    <row r="751" spans="1:1" ht="13">
      <c r="A751" s="9"/>
    </row>
    <row r="752" spans="1:1" ht="13">
      <c r="A752" s="9"/>
    </row>
    <row r="753" spans="1:1" ht="13">
      <c r="A753" s="9"/>
    </row>
    <row r="754" spans="1:1" ht="13">
      <c r="A754" s="9"/>
    </row>
    <row r="755" spans="1:1" ht="13">
      <c r="A755" s="9"/>
    </row>
    <row r="756" spans="1:1" ht="13">
      <c r="A756" s="9"/>
    </row>
    <row r="757" spans="1:1" ht="13">
      <c r="A757" s="9"/>
    </row>
    <row r="758" spans="1:1" ht="13">
      <c r="A758" s="9"/>
    </row>
    <row r="759" spans="1:1" ht="13">
      <c r="A759" s="9"/>
    </row>
    <row r="760" spans="1:1" ht="13">
      <c r="A760" s="9"/>
    </row>
    <row r="761" spans="1:1" ht="13">
      <c r="A761" s="9"/>
    </row>
    <row r="762" spans="1:1" ht="13">
      <c r="A762" s="9"/>
    </row>
    <row r="763" spans="1:1" ht="13">
      <c r="A763" s="9"/>
    </row>
    <row r="764" spans="1:1" ht="13">
      <c r="A764" s="9"/>
    </row>
    <row r="765" spans="1:1" ht="13">
      <c r="A765" s="9"/>
    </row>
    <row r="766" spans="1:1" ht="13">
      <c r="A766" s="9"/>
    </row>
    <row r="767" spans="1:1" ht="13">
      <c r="A767" s="9"/>
    </row>
    <row r="768" spans="1:1" ht="13">
      <c r="A768" s="9"/>
    </row>
    <row r="769" spans="1:1" ht="13">
      <c r="A769" s="9"/>
    </row>
    <row r="770" spans="1:1" ht="13">
      <c r="A770" s="9"/>
    </row>
    <row r="771" spans="1:1" ht="13">
      <c r="A771" s="9"/>
    </row>
    <row r="772" spans="1:1" ht="13">
      <c r="A772" s="9"/>
    </row>
    <row r="773" spans="1:1" ht="13">
      <c r="A773" s="9"/>
    </row>
    <row r="774" spans="1:1" ht="13">
      <c r="A774" s="9"/>
    </row>
    <row r="775" spans="1:1" ht="13">
      <c r="A775" s="9"/>
    </row>
    <row r="776" spans="1:1" ht="13">
      <c r="A776" s="9"/>
    </row>
    <row r="777" spans="1:1" ht="13">
      <c r="A777" s="9"/>
    </row>
    <row r="778" spans="1:1" ht="13">
      <c r="A778" s="9"/>
    </row>
    <row r="779" spans="1:1" ht="13">
      <c r="A779" s="9"/>
    </row>
    <row r="780" spans="1:1" ht="13">
      <c r="A780" s="9"/>
    </row>
    <row r="781" spans="1:1" ht="13">
      <c r="A781" s="9"/>
    </row>
    <row r="782" spans="1:1" ht="13">
      <c r="A782" s="9"/>
    </row>
    <row r="783" spans="1:1" ht="13">
      <c r="A783" s="9"/>
    </row>
    <row r="784" spans="1:1" ht="13">
      <c r="A784" s="9"/>
    </row>
    <row r="785" spans="1:1" ht="13">
      <c r="A785" s="9"/>
    </row>
    <row r="786" spans="1:1" ht="13">
      <c r="A786" s="9"/>
    </row>
    <row r="787" spans="1:1" ht="13">
      <c r="A787" s="9"/>
    </row>
    <row r="788" spans="1:1" ht="13">
      <c r="A788" s="9"/>
    </row>
    <row r="789" spans="1:1" ht="13">
      <c r="A789" s="9"/>
    </row>
    <row r="790" spans="1:1" ht="13">
      <c r="A790" s="9"/>
    </row>
    <row r="791" spans="1:1" ht="13">
      <c r="A791" s="9"/>
    </row>
    <row r="792" spans="1:1" ht="13">
      <c r="A792" s="9"/>
    </row>
    <row r="793" spans="1:1" ht="13">
      <c r="A793" s="9"/>
    </row>
    <row r="794" spans="1:1" ht="13">
      <c r="A794" s="9"/>
    </row>
    <row r="795" spans="1:1" ht="13">
      <c r="A795" s="9"/>
    </row>
    <row r="796" spans="1:1" ht="13">
      <c r="A796" s="9"/>
    </row>
    <row r="797" spans="1:1" ht="13">
      <c r="A797" s="9"/>
    </row>
    <row r="798" spans="1:1" ht="13">
      <c r="A798" s="9"/>
    </row>
    <row r="799" spans="1:1" ht="13">
      <c r="A799" s="9"/>
    </row>
    <row r="800" spans="1:1" ht="13">
      <c r="A800" s="9"/>
    </row>
    <row r="801" spans="1:1" ht="13">
      <c r="A801" s="9"/>
    </row>
    <row r="802" spans="1:1" ht="13">
      <c r="A802" s="9"/>
    </row>
    <row r="803" spans="1:1" ht="13">
      <c r="A803" s="9"/>
    </row>
    <row r="804" spans="1:1" ht="13">
      <c r="A804" s="9"/>
    </row>
    <row r="805" spans="1:1" ht="13">
      <c r="A805" s="9"/>
    </row>
    <row r="806" spans="1:1" ht="13">
      <c r="A806" s="9"/>
    </row>
    <row r="807" spans="1:1" ht="13">
      <c r="A807" s="9"/>
    </row>
    <row r="808" spans="1:1" ht="13">
      <c r="A808" s="9"/>
    </row>
    <row r="809" spans="1:1" ht="13">
      <c r="A809" s="9"/>
    </row>
    <row r="810" spans="1:1" ht="13">
      <c r="A810" s="9"/>
    </row>
    <row r="811" spans="1:1" ht="13">
      <c r="A811" s="9"/>
    </row>
    <row r="812" spans="1:1" ht="13">
      <c r="A812" s="9"/>
    </row>
    <row r="813" spans="1:1" ht="13">
      <c r="A813" s="9"/>
    </row>
    <row r="814" spans="1:1" ht="13">
      <c r="A814" s="9"/>
    </row>
    <row r="815" spans="1:1" ht="13">
      <c r="A815" s="9"/>
    </row>
    <row r="816" spans="1:1" ht="13">
      <c r="A816" s="9"/>
    </row>
    <row r="817" spans="1:1" ht="13">
      <c r="A817" s="9"/>
    </row>
    <row r="818" spans="1:1" ht="13">
      <c r="A818" s="9"/>
    </row>
    <row r="819" spans="1:1" ht="13">
      <c r="A819" s="9"/>
    </row>
    <row r="820" spans="1:1" ht="13">
      <c r="A820" s="9"/>
    </row>
    <row r="821" spans="1:1" ht="13">
      <c r="A821" s="9"/>
    </row>
    <row r="822" spans="1:1" ht="13">
      <c r="A822" s="9"/>
    </row>
    <row r="823" spans="1:1" ht="13">
      <c r="A823" s="9"/>
    </row>
    <row r="824" spans="1:1" ht="13">
      <c r="A824" s="9"/>
    </row>
    <row r="825" spans="1:1" ht="13">
      <c r="A825" s="9"/>
    </row>
    <row r="826" spans="1:1" ht="13">
      <c r="A826" s="9"/>
    </row>
    <row r="827" spans="1:1" ht="13">
      <c r="A827" s="9"/>
    </row>
    <row r="828" spans="1:1" ht="13">
      <c r="A828" s="9"/>
    </row>
    <row r="829" spans="1:1" ht="13">
      <c r="A829" s="9"/>
    </row>
    <row r="830" spans="1:1" ht="13">
      <c r="A830" s="9"/>
    </row>
    <row r="831" spans="1:1" ht="13">
      <c r="A831" s="9"/>
    </row>
    <row r="832" spans="1:1" ht="13">
      <c r="A832" s="9"/>
    </row>
    <row r="833" spans="1:1" ht="13">
      <c r="A833" s="9"/>
    </row>
    <row r="834" spans="1:1" ht="13">
      <c r="A834" s="9"/>
    </row>
    <row r="835" spans="1:1" ht="13">
      <c r="A835" s="9"/>
    </row>
    <row r="836" spans="1:1" ht="13">
      <c r="A836" s="9"/>
    </row>
    <row r="837" spans="1:1" ht="13">
      <c r="A837" s="9"/>
    </row>
    <row r="838" spans="1:1" ht="13">
      <c r="A838" s="9"/>
    </row>
    <row r="839" spans="1:1" ht="13">
      <c r="A839" s="9"/>
    </row>
    <row r="840" spans="1:1" ht="13">
      <c r="A840" s="9"/>
    </row>
    <row r="841" spans="1:1" ht="13">
      <c r="A841" s="9"/>
    </row>
    <row r="842" spans="1:1" ht="13">
      <c r="A842" s="9"/>
    </row>
    <row r="843" spans="1:1" ht="13">
      <c r="A843" s="9"/>
    </row>
    <row r="844" spans="1:1" ht="13">
      <c r="A844" s="9"/>
    </row>
    <row r="845" spans="1:1" ht="13">
      <c r="A845" s="9"/>
    </row>
    <row r="846" spans="1:1" ht="13">
      <c r="A846" s="9"/>
    </row>
    <row r="847" spans="1:1" ht="13">
      <c r="A847" s="9"/>
    </row>
    <row r="848" spans="1:1" ht="13">
      <c r="A848" s="9"/>
    </row>
    <row r="849" spans="1:1" ht="13">
      <c r="A849" s="9"/>
    </row>
    <row r="850" spans="1:1" ht="13">
      <c r="A850" s="9"/>
    </row>
    <row r="851" spans="1:1" ht="13">
      <c r="A851" s="9"/>
    </row>
    <row r="852" spans="1:1" ht="13">
      <c r="A852" s="9"/>
    </row>
    <row r="853" spans="1:1" ht="13">
      <c r="A853" s="9"/>
    </row>
    <row r="854" spans="1:1" ht="13">
      <c r="A854" s="9"/>
    </row>
    <row r="855" spans="1:1" ht="13">
      <c r="A855" s="9"/>
    </row>
    <row r="856" spans="1:1" ht="13">
      <c r="A856" s="9"/>
    </row>
    <row r="857" spans="1:1" ht="13">
      <c r="A857" s="9"/>
    </row>
    <row r="858" spans="1:1" ht="13">
      <c r="A858" s="9"/>
    </row>
    <row r="859" spans="1:1" ht="13">
      <c r="A859" s="9"/>
    </row>
    <row r="860" spans="1:1" ht="13">
      <c r="A860" s="9"/>
    </row>
    <row r="861" spans="1:1" ht="13">
      <c r="A861" s="9"/>
    </row>
    <row r="862" spans="1:1" ht="13">
      <c r="A862" s="9"/>
    </row>
    <row r="863" spans="1:1" ht="13">
      <c r="A863" s="9"/>
    </row>
    <row r="864" spans="1:1" ht="13">
      <c r="A864" s="9"/>
    </row>
    <row r="865" spans="1:1" ht="13">
      <c r="A865" s="9"/>
    </row>
    <row r="866" spans="1:1" ht="13">
      <c r="A866" s="9"/>
    </row>
    <row r="867" spans="1:1" ht="13">
      <c r="A867" s="9"/>
    </row>
    <row r="868" spans="1:1" ht="13">
      <c r="A868" s="9"/>
    </row>
    <row r="869" spans="1:1" ht="13">
      <c r="A869" s="9"/>
    </row>
    <row r="870" spans="1:1" ht="13">
      <c r="A870" s="9"/>
    </row>
    <row r="871" spans="1:1" ht="13">
      <c r="A871" s="9"/>
    </row>
    <row r="872" spans="1:1" ht="13">
      <c r="A872" s="9"/>
    </row>
    <row r="873" spans="1:1" ht="13">
      <c r="A873" s="9"/>
    </row>
    <row r="874" spans="1:1" ht="13">
      <c r="A874" s="9"/>
    </row>
    <row r="875" spans="1:1" ht="13">
      <c r="A875" s="9"/>
    </row>
    <row r="876" spans="1:1" ht="13">
      <c r="A876" s="9"/>
    </row>
    <row r="877" spans="1:1" ht="13">
      <c r="A877" s="9"/>
    </row>
    <row r="878" spans="1:1" ht="13">
      <c r="A878" s="9"/>
    </row>
    <row r="879" spans="1:1" ht="13">
      <c r="A879" s="9"/>
    </row>
    <row r="880" spans="1:1" ht="13">
      <c r="A880" s="9"/>
    </row>
    <row r="881" spans="1:1" ht="13">
      <c r="A881" s="9"/>
    </row>
    <row r="882" spans="1:1" ht="13">
      <c r="A882" s="9"/>
    </row>
    <row r="883" spans="1:1" ht="13">
      <c r="A883" s="9"/>
    </row>
    <row r="884" spans="1:1" ht="13">
      <c r="A884" s="9"/>
    </row>
    <row r="885" spans="1:1" ht="13">
      <c r="A885" s="9"/>
    </row>
    <row r="886" spans="1:1" ht="13">
      <c r="A886" s="9"/>
    </row>
    <row r="887" spans="1:1" ht="13">
      <c r="A887" s="9"/>
    </row>
    <row r="888" spans="1:1" ht="13">
      <c r="A888" s="9"/>
    </row>
    <row r="889" spans="1:1" ht="13">
      <c r="A889" s="9"/>
    </row>
    <row r="890" spans="1:1" ht="13">
      <c r="A890" s="9"/>
    </row>
    <row r="891" spans="1:1" ht="13">
      <c r="A891" s="9"/>
    </row>
    <row r="892" spans="1:1" ht="13">
      <c r="A892" s="9"/>
    </row>
    <row r="893" spans="1:1" ht="13">
      <c r="A893" s="9"/>
    </row>
    <row r="894" spans="1:1" ht="13">
      <c r="A894" s="9"/>
    </row>
    <row r="895" spans="1:1" ht="13">
      <c r="A895" s="9"/>
    </row>
    <row r="896" spans="1:1" ht="13">
      <c r="A896" s="9"/>
    </row>
    <row r="897" spans="1:1" ht="13">
      <c r="A897" s="9"/>
    </row>
    <row r="898" spans="1:1" ht="13">
      <c r="A898" s="9"/>
    </row>
    <row r="899" spans="1:1" ht="13">
      <c r="A899" s="9"/>
    </row>
    <row r="900" spans="1:1" ht="13">
      <c r="A900" s="9"/>
    </row>
    <row r="901" spans="1:1" ht="13">
      <c r="A901" s="9"/>
    </row>
    <row r="902" spans="1:1" ht="13">
      <c r="A902" s="9"/>
    </row>
    <row r="903" spans="1:1" ht="13">
      <c r="A903" s="9"/>
    </row>
    <row r="904" spans="1:1" ht="13">
      <c r="A904" s="9"/>
    </row>
    <row r="905" spans="1:1" ht="13">
      <c r="A905" s="9"/>
    </row>
    <row r="906" spans="1:1" ht="13">
      <c r="A906" s="9"/>
    </row>
    <row r="907" spans="1:1" ht="13">
      <c r="A907" s="9"/>
    </row>
    <row r="908" spans="1:1" ht="13">
      <c r="A908" s="9"/>
    </row>
    <row r="909" spans="1:1" ht="13">
      <c r="A909" s="9"/>
    </row>
    <row r="910" spans="1:1" ht="13">
      <c r="A910" s="9"/>
    </row>
    <row r="911" spans="1:1" ht="13">
      <c r="A911" s="9"/>
    </row>
    <row r="912" spans="1:1" ht="13">
      <c r="A912" s="9"/>
    </row>
    <row r="913" spans="1:1" ht="13">
      <c r="A913" s="9"/>
    </row>
    <row r="914" spans="1:1" ht="13">
      <c r="A914" s="9"/>
    </row>
    <row r="915" spans="1:1" ht="13">
      <c r="A915" s="9"/>
    </row>
    <row r="916" spans="1:1" ht="13">
      <c r="A916" s="9"/>
    </row>
    <row r="917" spans="1:1" ht="13">
      <c r="A917" s="9"/>
    </row>
    <row r="918" spans="1:1" ht="13">
      <c r="A918" s="9"/>
    </row>
    <row r="919" spans="1:1" ht="13">
      <c r="A919" s="9"/>
    </row>
    <row r="920" spans="1:1" ht="13">
      <c r="A920" s="9"/>
    </row>
    <row r="921" spans="1:1" ht="13">
      <c r="A921" s="9"/>
    </row>
    <row r="922" spans="1:1" ht="13">
      <c r="A922" s="9"/>
    </row>
    <row r="923" spans="1:1" ht="13">
      <c r="A923" s="9"/>
    </row>
    <row r="924" spans="1:1" ht="13">
      <c r="A924" s="9"/>
    </row>
    <row r="925" spans="1:1" ht="13">
      <c r="A925" s="9"/>
    </row>
    <row r="926" spans="1:1" ht="13">
      <c r="A926" s="9"/>
    </row>
    <row r="927" spans="1:1" ht="13">
      <c r="A927" s="9"/>
    </row>
    <row r="928" spans="1:1" ht="13">
      <c r="A928" s="9"/>
    </row>
    <row r="929" spans="1:1" ht="13">
      <c r="A929" s="9"/>
    </row>
    <row r="930" spans="1:1" ht="13">
      <c r="A930" s="9"/>
    </row>
    <row r="931" spans="1:1" ht="13">
      <c r="A931" s="9"/>
    </row>
    <row r="932" spans="1:1" ht="13">
      <c r="A932" s="9"/>
    </row>
    <row r="933" spans="1:1" ht="13">
      <c r="A933" s="9"/>
    </row>
    <row r="934" spans="1:1" ht="13">
      <c r="A934" s="9"/>
    </row>
    <row r="935" spans="1:1" ht="13">
      <c r="A935" s="9"/>
    </row>
    <row r="936" spans="1:1" ht="13">
      <c r="A936" s="9"/>
    </row>
    <row r="937" spans="1:1" ht="13">
      <c r="A937" s="9"/>
    </row>
    <row r="938" spans="1:1" ht="13">
      <c r="A938" s="9"/>
    </row>
    <row r="939" spans="1:1" ht="13">
      <c r="A939" s="9"/>
    </row>
    <row r="940" spans="1:1" ht="13">
      <c r="A940" s="9"/>
    </row>
    <row r="941" spans="1:1" ht="13">
      <c r="A941" s="9"/>
    </row>
    <row r="942" spans="1:1" ht="13">
      <c r="A942" s="9"/>
    </row>
    <row r="943" spans="1:1" ht="13">
      <c r="A943" s="9"/>
    </row>
    <row r="944" spans="1:1" ht="13">
      <c r="A944" s="9"/>
    </row>
    <row r="945" spans="1:1" ht="13">
      <c r="A945" s="9"/>
    </row>
    <row r="946" spans="1:1" ht="13">
      <c r="A946" s="9"/>
    </row>
    <row r="947" spans="1:1" ht="13">
      <c r="A947" s="9"/>
    </row>
    <row r="948" spans="1:1" ht="13">
      <c r="A948" s="9"/>
    </row>
    <row r="949" spans="1:1" ht="13">
      <c r="A949" s="9"/>
    </row>
    <row r="950" spans="1:1" ht="13">
      <c r="A950" s="9"/>
    </row>
    <row r="951" spans="1:1" ht="13">
      <c r="A951" s="9"/>
    </row>
    <row r="952" spans="1:1" ht="13">
      <c r="A952" s="9"/>
    </row>
    <row r="953" spans="1:1" ht="13">
      <c r="A953" s="9"/>
    </row>
    <row r="954" spans="1:1" ht="13">
      <c r="A954" s="9"/>
    </row>
    <row r="955" spans="1:1" ht="13">
      <c r="A955" s="9"/>
    </row>
    <row r="956" spans="1:1" ht="13">
      <c r="A956" s="9"/>
    </row>
    <row r="957" spans="1:1" ht="13">
      <c r="A957" s="9"/>
    </row>
    <row r="958" spans="1:1" ht="13">
      <c r="A958" s="9"/>
    </row>
    <row r="959" spans="1:1" ht="13">
      <c r="A959" s="9"/>
    </row>
    <row r="960" spans="1:1" ht="13">
      <c r="A960" s="9"/>
    </row>
    <row r="961" spans="1:1" ht="13">
      <c r="A961" s="9"/>
    </row>
    <row r="962" spans="1:1" ht="13">
      <c r="A962" s="9"/>
    </row>
    <row r="963" spans="1:1" ht="13">
      <c r="A963" s="9"/>
    </row>
    <row r="964" spans="1:1" ht="13">
      <c r="A964" s="9"/>
    </row>
    <row r="965" spans="1:1" ht="13">
      <c r="A965" s="9"/>
    </row>
    <row r="966" spans="1:1" ht="13">
      <c r="A966" s="9"/>
    </row>
    <row r="967" spans="1:1" ht="13">
      <c r="A967" s="9"/>
    </row>
    <row r="968" spans="1:1" ht="13">
      <c r="A968" s="9"/>
    </row>
    <row r="969" spans="1:1" ht="13">
      <c r="A969" s="9"/>
    </row>
    <row r="970" spans="1:1" ht="13">
      <c r="A970" s="9"/>
    </row>
    <row r="971" spans="1:1" ht="13">
      <c r="A971" s="9"/>
    </row>
    <row r="972" spans="1:1" ht="13">
      <c r="A972" s="9"/>
    </row>
    <row r="973" spans="1:1" ht="13">
      <c r="A973" s="9"/>
    </row>
    <row r="974" spans="1:1" ht="13">
      <c r="A974" s="9"/>
    </row>
    <row r="975" spans="1:1" ht="13">
      <c r="A975" s="9"/>
    </row>
    <row r="976" spans="1:1" ht="13">
      <c r="A976" s="9"/>
    </row>
    <row r="977" spans="1:1" ht="13">
      <c r="A977" s="9"/>
    </row>
    <row r="978" spans="1:1" ht="13">
      <c r="A978" s="9"/>
    </row>
    <row r="979" spans="1:1" ht="13">
      <c r="A979" s="9"/>
    </row>
    <row r="980" spans="1:1" ht="13">
      <c r="A980" s="9"/>
    </row>
    <row r="981" spans="1:1" ht="13">
      <c r="A981" s="9"/>
    </row>
    <row r="982" spans="1:1" ht="13">
      <c r="A982" s="9"/>
    </row>
    <row r="983" spans="1:1" ht="13">
      <c r="A983" s="9"/>
    </row>
    <row r="984" spans="1:1" ht="13">
      <c r="A984" s="9"/>
    </row>
    <row r="985" spans="1:1" ht="13">
      <c r="A985" s="9"/>
    </row>
    <row r="986" spans="1:1" ht="13">
      <c r="A986" s="9"/>
    </row>
    <row r="987" spans="1:1" ht="13">
      <c r="A987" s="9"/>
    </row>
    <row r="988" spans="1:1" ht="13">
      <c r="A988" s="9"/>
    </row>
    <row r="989" spans="1:1" ht="13">
      <c r="A989" s="9"/>
    </row>
    <row r="990" spans="1:1" ht="13">
      <c r="A990" s="9"/>
    </row>
    <row r="991" spans="1:1" ht="13">
      <c r="A991" s="9"/>
    </row>
    <row r="992" spans="1:1" ht="13">
      <c r="A992" s="9"/>
    </row>
    <row r="993" spans="1:1" ht="13">
      <c r="A993" s="9"/>
    </row>
    <row r="994" spans="1:1" ht="13">
      <c r="A994" s="9"/>
    </row>
    <row r="995" spans="1:1" ht="13">
      <c r="A995" s="9"/>
    </row>
    <row r="996" spans="1:1" ht="13">
      <c r="A996" s="9"/>
    </row>
    <row r="997" spans="1:1" ht="13">
      <c r="A997" s="9"/>
    </row>
    <row r="998" spans="1:1" ht="13">
      <c r="A998" s="9"/>
    </row>
    <row r="999" spans="1:1" ht="13">
      <c r="A999" s="9"/>
    </row>
    <row r="1000" spans="1:1" ht="13">
      <c r="A100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Follow up 1</vt:lpstr>
      <vt:lpstr>Follow up 2</vt:lpstr>
      <vt:lpstr>Follow up 3</vt:lpstr>
      <vt:lpstr>February Report</vt:lpstr>
      <vt:lpstr>March Report</vt:lpstr>
      <vt:lpstr>April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 Perry</cp:lastModifiedBy>
  <dcterms:modified xsi:type="dcterms:W3CDTF">2026-08-13T08:07:42Z</dcterms:modified>
</cp:coreProperties>
</file>